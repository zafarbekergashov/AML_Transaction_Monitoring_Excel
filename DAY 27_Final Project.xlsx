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esktop\Day27_Final Project\"/>
    </mc:Choice>
  </mc:AlternateContent>
  <xr:revisionPtr revIDLastSave="0" documentId="13_ncr:1_{9060A679-7C27-4D15-A37E-6F4AE26E80DB}" xr6:coauthVersionLast="47" xr6:coauthVersionMax="47" xr10:uidLastSave="{00000000-0000-0000-0000-000000000000}"/>
  <bookViews>
    <workbookView xWindow="-108" yWindow="-108" windowWidth="23256" windowHeight="12456" activeTab="5" xr2:uid="{00000000-000D-0000-FFFF-FFFF00000000}"/>
  </bookViews>
  <sheets>
    <sheet name="README" sheetId="1" r:id="rId1"/>
    <sheet name="AML_Analysis" sheetId="3" r:id="rId2"/>
    <sheet name="Dashboard" sheetId="4" r:id="rId3"/>
    <sheet name="Transactions" sheetId="8" r:id="rId4"/>
    <sheet name="Sanctions" sheetId="7" r:id="rId5"/>
    <sheet name="Review Report" sheetId="5" r:id="rId6"/>
  </sheets>
  <definedNames>
    <definedName name="_xlnm._FilterDatabase" localSheetId="5" hidden="1">'Review Report'!#REF!</definedName>
    <definedName name="ExternalData_1" localSheetId="4" hidden="1">Sanctions!$A$1:$F$6</definedName>
    <definedName name="ExternalData_2" localSheetId="3" hidden="1">Transactions!$A$1:$P$19</definedName>
    <definedName name="Slicer_Country">#N/A</definedName>
    <definedName name="Slicer_Final_AML_Status">#N/A</definedName>
    <definedName name="Slicer_Risk_Lev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A1" i="5" a="1"/>
  <c r="A1" i="5" s="1"/>
  <c r="D3" i="4"/>
  <c r="C3" i="4"/>
  <c r="A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0CCB73-F655-43DC-AF46-5240151F8D7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8091B351-B834-47B0-A82B-488FC618406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31BD723-47DD-4409-B755-314954543EC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E1405FA-8F59-4BE3-A3E3-8A0B3C4FAB4E}" keepAlive="1" name="Query - Sanctions" description="Connection to the 'Sanctions' query in the workbook." type="5" refreshedVersion="8" background="1" saveData="1">
    <dbPr connection="Provider=Microsoft.Mashup.OleDb.1;Data Source=$Workbook$;Location=Sanctions;Extended Properties=&quot;&quot;" command="SELECT * FROM [Sanctions]"/>
  </connection>
  <connection id="5" xr16:uid="{31CF76FE-23B0-411F-8EAB-9F0FD9733A67}" keepAlive="1" name="Query - Transactions" description="Connection to the 'Transactions' query in the workbook." type="5" refreshedVersion="8" background="1" saveData="1">
    <dbPr connection="Provider=Microsoft.Mashup.OleDb.1;Data Source=$Workbook$;Location=Transactions;Extended Properties=&quot;&quot;" command="SELECT * FROM [Transactions]"/>
  </connection>
  <connection id="6" xr16:uid="{749EA3CA-2C3B-4BB1-A2FB-CDDA4C55EB9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F9D1172E-F665-4DA7-BBBF-3F9E1FF0226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<sst xmlns="http://schemas.openxmlformats.org/spreadsheetml/2006/main" count="382" uniqueCount="129">
  <si>
    <t>Source.Name</t>
  </si>
  <si>
    <t>Transaction ID</t>
  </si>
  <si>
    <t>Customer ID</t>
  </si>
  <si>
    <t>Customer Name</t>
  </si>
  <si>
    <t>Country</t>
  </si>
  <si>
    <t>Amount</t>
  </si>
  <si>
    <t>Channel</t>
  </si>
  <si>
    <t>Transaction Type</t>
  </si>
  <si>
    <t>Risk Level</t>
  </si>
  <si>
    <t>Date</t>
  </si>
  <si>
    <t>Amount Flag</t>
  </si>
  <si>
    <t>Risk Flag</t>
  </si>
  <si>
    <t>AML Alert</t>
  </si>
  <si>
    <t>2026-08-01.csv</t>
  </si>
  <si>
    <t>TX001</t>
  </si>
  <si>
    <t>C001</t>
  </si>
  <si>
    <t>John Smith</t>
  </si>
  <si>
    <t>Poland</t>
  </si>
  <si>
    <t>Online</t>
  </si>
  <si>
    <t>Transfer</t>
  </si>
  <si>
    <t>LOW</t>
  </si>
  <si>
    <t>NORMAL</t>
  </si>
  <si>
    <t>TX002</t>
  </si>
  <si>
    <t>C002</t>
  </si>
  <si>
    <t>Ahmed Khan</t>
  </si>
  <si>
    <t>UAE</t>
  </si>
  <si>
    <t>HIGH</t>
  </si>
  <si>
    <t>ABOVE THRESHOLD</t>
  </si>
  <si>
    <t>HIGH RISK</t>
  </si>
  <si>
    <t>REVIEW</t>
  </si>
  <si>
    <t>TX003</t>
  </si>
  <si>
    <t>C003</t>
  </si>
  <si>
    <t>Maria Garcia</t>
  </si>
  <si>
    <t>Spain</t>
  </si>
  <si>
    <t>Branch</t>
  </si>
  <si>
    <t>MEDIUM</t>
  </si>
  <si>
    <t>TX004</t>
  </si>
  <si>
    <t>C004</t>
  </si>
  <si>
    <t>Zhang Wei</t>
  </si>
  <si>
    <t>China</t>
  </si>
  <si>
    <t>TX005</t>
  </si>
  <si>
    <t>C005</t>
  </si>
  <si>
    <t>Alex Brown</t>
  </si>
  <si>
    <t>ATM</t>
  </si>
  <si>
    <t>Cash Withdrawal</t>
  </si>
  <si>
    <t>2026-08-02.csv</t>
  </si>
  <si>
    <t>TX006</t>
  </si>
  <si>
    <t>C006</t>
  </si>
  <si>
    <t>James Wilson</t>
  </si>
  <si>
    <t>UK</t>
  </si>
  <si>
    <t>TX007</t>
  </si>
  <si>
    <t>C007</t>
  </si>
  <si>
    <t>Laura Rossi</t>
  </si>
  <si>
    <t>Italy</t>
  </si>
  <si>
    <t>TX008</t>
  </si>
  <si>
    <t>TX009</t>
  </si>
  <si>
    <t>C008</t>
  </si>
  <si>
    <t>Chen Li</t>
  </si>
  <si>
    <t>TX010</t>
  </si>
  <si>
    <t>C009</t>
  </si>
  <si>
    <t>David Miller</t>
  </si>
  <si>
    <t>2026-08-03.csv</t>
  </si>
  <si>
    <t>TX011</t>
  </si>
  <si>
    <t>C010</t>
  </si>
  <si>
    <t>Sofia Martin</t>
  </si>
  <si>
    <t>TX012</t>
  </si>
  <si>
    <t>TX013</t>
  </si>
  <si>
    <t>C011</t>
  </si>
  <si>
    <t>Robert Taylor</t>
  </si>
  <si>
    <t>France</t>
  </si>
  <si>
    <t>TX014</t>
  </si>
  <si>
    <t>TX015</t>
  </si>
  <si>
    <t>C012</t>
  </si>
  <si>
    <t>Daniel Novak</t>
  </si>
  <si>
    <t>Column1</t>
  </si>
  <si>
    <t>Column2</t>
  </si>
  <si>
    <t>Column3</t>
  </si>
  <si>
    <t>Column4</t>
  </si>
  <si>
    <t>Column5</t>
  </si>
  <si>
    <t>Column6</t>
  </si>
  <si>
    <t>Sanctions Status</t>
  </si>
  <si>
    <t>Reason</t>
  </si>
  <si>
    <t/>
  </si>
  <si>
    <t>LISTED</t>
  </si>
  <si>
    <t>Financial Crime</t>
  </si>
  <si>
    <t>Sanctions Evasion</t>
  </si>
  <si>
    <t>C099</t>
  </si>
  <si>
    <t>Terrorist Financing</t>
  </si>
  <si>
    <t>C101</t>
  </si>
  <si>
    <t>Proliferation</t>
  </si>
  <si>
    <t>Final AML Status</t>
  </si>
  <si>
    <t>SANCTIONS REVIEW</t>
  </si>
  <si>
    <t>TRANSACTION REVIEW</t>
  </si>
  <si>
    <t>Row Labels</t>
  </si>
  <si>
    <t>Grand Total</t>
  </si>
  <si>
    <t>Sum of Amount</t>
  </si>
  <si>
    <t>Count of Amount</t>
  </si>
  <si>
    <t>TX001 Count</t>
  </si>
  <si>
    <t>TX002 Count</t>
  </si>
  <si>
    <t>TX003 Count</t>
  </si>
  <si>
    <t>TX004 Count</t>
  </si>
  <si>
    <t>TX005 Count</t>
  </si>
  <si>
    <t>TX006 Count</t>
  </si>
  <si>
    <t>TX007 Count</t>
  </si>
  <si>
    <t>TX008 Count</t>
  </si>
  <si>
    <t>TX009 Count</t>
  </si>
  <si>
    <t>TX010 Count</t>
  </si>
  <si>
    <t>TX011 Count</t>
  </si>
  <si>
    <t>TX012 Count</t>
  </si>
  <si>
    <t>TX013 Count</t>
  </si>
  <si>
    <t>TX014 Count</t>
  </si>
  <si>
    <t>TX015 Count</t>
  </si>
  <si>
    <t>AML TRANSACTION MONITORING DASHBOARD</t>
  </si>
  <si>
    <t>Total Transactions</t>
  </si>
  <si>
    <t>Total Sum of Amount</t>
  </si>
  <si>
    <t>Sanctions Matches</t>
  </si>
  <si>
    <t>Potential Alerts</t>
  </si>
  <si>
    <t>2026-08-04.csv</t>
  </si>
  <si>
    <t>TX016</t>
  </si>
  <si>
    <t>C013</t>
  </si>
  <si>
    <t>Michael Lee</t>
  </si>
  <si>
    <t>TX017</t>
  </si>
  <si>
    <t>C014</t>
  </si>
  <si>
    <t>Anna Kowalska</t>
  </si>
  <si>
    <t>TX018</t>
  </si>
  <si>
    <t>TX016 Count</t>
  </si>
  <si>
    <t>TX017 Count</t>
  </si>
  <si>
    <t>TX018 Count</t>
  </si>
  <si>
    <r>
      <t xml:space="preserve">AML TRANSACTION MONITORING &amp; SANCTIONS SCREENING PROJECT OVERVIEW
</t>
    </r>
    <r>
      <rPr>
        <sz val="11"/>
        <color theme="1"/>
        <rFont val="Calibri"/>
        <family val="2"/>
        <charset val="204"/>
        <scheme val="minor"/>
      </rPr>
      <t>This project is a practical AML transaction monitoring and sanctions screening prototype built with Microsoft Excel and Power Query.
The project simulates a simplified AML analyst workflow: importing daily transaction files, combining and cleaning data, applying transaction-monitoring rules, screening customers against a sanctions reference list, identifying potential alerts, and preparing reports for further investigation.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</si>
</sst>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charset val="204"/>
      <scheme val="minor"/>
    </font>
    <font>
      <b/>
      <sz val="12"/>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1" fillId="0" borderId="0" xfId="0" applyFont="1"/>
    <xf numFmtId="0" fontId="1" fillId="0" borderId="0" xfId="0" applyFont="1" applyAlignment="1">
      <alignment horizontal="center" wrapText="1"/>
    </xf>
    <xf numFmtId="0" fontId="1" fillId="0" borderId="0" xfId="0" applyFont="1" applyAlignment="1">
      <alignment horizontal="center" wrapText="1"/>
    </xf>
    <xf numFmtId="0" fontId="2" fillId="0" borderId="0" xfId="0" applyFont="1" applyAlignment="1">
      <alignment horizontal="center" vertical="center"/>
    </xf>
  </cellXfs>
  <cellStyles count="1">
    <cellStyle name="Normal" xfId="0" builtinId="0"/>
  </cellStyles>
  <dxfs count="29">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charset val="204"/>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27_Final Project.xlsx]AML_Analysis!PivotTable8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AML_Analysis!$B$1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AML_Analysis!$A$2:$A$18</c:f>
              <c:multiLvlStrCache>
                <c:ptCount val="9"/>
                <c:lvl>
                  <c:pt idx="0">
                    <c:v>SANCTIONS REVIEW</c:v>
                  </c:pt>
                  <c:pt idx="1">
                    <c:v>TRANSACTION REVIEW</c:v>
                  </c:pt>
                  <c:pt idx="2">
                    <c:v>NORMAL</c:v>
                  </c:pt>
                  <c:pt idx="3">
                    <c:v>NORMAL</c:v>
                  </c:pt>
                  <c:pt idx="4">
                    <c:v>NORMAL</c:v>
                  </c:pt>
                  <c:pt idx="5">
                    <c:v>NORMAL</c:v>
                  </c:pt>
                  <c:pt idx="6">
                    <c:v>SANCTIONS REVIEW</c:v>
                  </c:pt>
                  <c:pt idx="7">
                    <c:v>TRANSACTION REVIEW</c:v>
                  </c:pt>
                  <c:pt idx="8">
                    <c:v>NORMAL</c:v>
                  </c:pt>
                </c:lvl>
                <c:lvl>
                  <c:pt idx="0">
                    <c:v>China</c:v>
                  </c:pt>
                  <c:pt idx="2">
                    <c:v>France</c:v>
                  </c:pt>
                  <c:pt idx="3">
                    <c:v>Italy</c:v>
                  </c:pt>
                  <c:pt idx="4">
                    <c:v>Poland</c:v>
                  </c:pt>
                  <c:pt idx="5">
                    <c:v>Spain</c:v>
                  </c:pt>
                  <c:pt idx="6">
                    <c:v>UAE</c:v>
                  </c:pt>
                  <c:pt idx="8">
                    <c:v>UK</c:v>
                  </c:pt>
                </c:lvl>
              </c:multiLvlStrCache>
            </c:multiLvlStrRef>
          </c:cat>
          <c:val>
            <c:numRef>
              <c:f>AML_Analysis!$B$2:$B$18</c:f>
              <c:numCache>
                <c:formatCode>General</c:formatCode>
                <c:ptCount val="9"/>
                <c:pt idx="0">
                  <c:v>2</c:v>
                </c:pt>
                <c:pt idx="1">
                  <c:v>1</c:v>
                </c:pt>
                <c:pt idx="2">
                  <c:v>1</c:v>
                </c:pt>
                <c:pt idx="3">
                  <c:v>1</c:v>
                </c:pt>
                <c:pt idx="4">
                  <c:v>4</c:v>
                </c:pt>
                <c:pt idx="5">
                  <c:v>2</c:v>
                </c:pt>
                <c:pt idx="6">
                  <c:v>4</c:v>
                </c:pt>
                <c:pt idx="7">
                  <c:v>1</c:v>
                </c:pt>
                <c:pt idx="8">
                  <c:v>2</c:v>
                </c:pt>
              </c:numCache>
            </c:numRef>
          </c:val>
          <c:extLst>
            <c:ext xmlns:c16="http://schemas.microsoft.com/office/drawing/2014/chart" uri="{C3380CC4-5D6E-409C-BE32-E72D297353CC}">
              <c16:uniqueId val="{00000000-5909-4E82-B689-6B4D614102FF}"/>
            </c:ext>
          </c:extLst>
        </c:ser>
        <c:dLbls>
          <c:showLegendKey val="0"/>
          <c:showVal val="0"/>
          <c:showCatName val="0"/>
          <c:showSerName val="0"/>
          <c:showPercent val="0"/>
          <c:showBubbleSize val="0"/>
        </c:dLbls>
        <c:gapWidth val="219"/>
        <c:overlap val="-27"/>
        <c:axId val="1193612127"/>
        <c:axId val="371580944"/>
      </c:barChart>
      <c:catAx>
        <c:axId val="119361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580944"/>
        <c:crosses val="autoZero"/>
        <c:auto val="1"/>
        <c:lblAlgn val="ctr"/>
        <c:lblOffset val="100"/>
        <c:noMultiLvlLbl val="0"/>
      </c:catAx>
      <c:valAx>
        <c:axId val="37158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1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27_Final Project.xlsx]AML_Analysis!PivotTable7</c:name>
    <c:fmtId val="11"/>
  </c:pivotSource>
  <c:chart>
    <c:title>
      <c:layout>
        <c:manualLayout>
          <c:xMode val="edge"/>
          <c:yMode val="edge"/>
          <c:x val="0.87861111111111112"/>
          <c:y val="0.341571886847477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AML_Analysis!$E$1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AML_Analysis!$D$2:$D$18</c:f>
              <c:multiLvlStrCache>
                <c:ptCount val="9"/>
                <c:lvl>
                  <c:pt idx="0">
                    <c:v>SANCTIONS REVIEW</c:v>
                  </c:pt>
                  <c:pt idx="1">
                    <c:v>TRANSACTION REVIEW</c:v>
                  </c:pt>
                  <c:pt idx="2">
                    <c:v>NORMAL</c:v>
                  </c:pt>
                  <c:pt idx="3">
                    <c:v>NORMAL</c:v>
                  </c:pt>
                  <c:pt idx="4">
                    <c:v>NORMAL</c:v>
                  </c:pt>
                  <c:pt idx="5">
                    <c:v>NORMAL</c:v>
                  </c:pt>
                  <c:pt idx="6">
                    <c:v>SANCTIONS REVIEW</c:v>
                  </c:pt>
                  <c:pt idx="7">
                    <c:v>TRANSACTION REVIEW</c:v>
                  </c:pt>
                  <c:pt idx="8">
                    <c:v>NORMAL</c:v>
                  </c:pt>
                </c:lvl>
                <c:lvl>
                  <c:pt idx="0">
                    <c:v>China</c:v>
                  </c:pt>
                  <c:pt idx="2">
                    <c:v>France</c:v>
                  </c:pt>
                  <c:pt idx="3">
                    <c:v>Italy</c:v>
                  </c:pt>
                  <c:pt idx="4">
                    <c:v>Poland</c:v>
                  </c:pt>
                  <c:pt idx="5">
                    <c:v>Spain</c:v>
                  </c:pt>
                  <c:pt idx="6">
                    <c:v>UAE</c:v>
                  </c:pt>
                  <c:pt idx="8">
                    <c:v>UK</c:v>
                  </c:pt>
                </c:lvl>
              </c:multiLvlStrCache>
            </c:multiLvlStrRef>
          </c:cat>
          <c:val>
            <c:numRef>
              <c:f>AML_Analysis!$E$2:$E$18</c:f>
              <c:numCache>
                <c:formatCode>General</c:formatCode>
                <c:ptCount val="9"/>
                <c:pt idx="0">
                  <c:v>102000</c:v>
                </c:pt>
                <c:pt idx="1">
                  <c:v>18000</c:v>
                </c:pt>
                <c:pt idx="2">
                  <c:v>5000</c:v>
                </c:pt>
                <c:pt idx="3">
                  <c:v>9000</c:v>
                </c:pt>
                <c:pt idx="4">
                  <c:v>15000</c:v>
                </c:pt>
                <c:pt idx="5">
                  <c:v>26000</c:v>
                </c:pt>
                <c:pt idx="6">
                  <c:v>123000</c:v>
                </c:pt>
                <c:pt idx="7">
                  <c:v>75000</c:v>
                </c:pt>
                <c:pt idx="8">
                  <c:v>16000</c:v>
                </c:pt>
              </c:numCache>
            </c:numRef>
          </c:val>
          <c:extLst>
            <c:ext xmlns:c16="http://schemas.microsoft.com/office/drawing/2014/chart" uri="{C3380CC4-5D6E-409C-BE32-E72D297353CC}">
              <c16:uniqueId val="{00000000-543A-4D34-A5DF-6DAC29959410}"/>
            </c:ext>
          </c:extLst>
        </c:ser>
        <c:dLbls>
          <c:showLegendKey val="0"/>
          <c:showVal val="0"/>
          <c:showCatName val="0"/>
          <c:showSerName val="0"/>
          <c:showPercent val="0"/>
          <c:showBubbleSize val="0"/>
        </c:dLbls>
        <c:gapWidth val="150"/>
        <c:overlap val="100"/>
        <c:axId val="1193598207"/>
        <c:axId val="371572784"/>
      </c:barChart>
      <c:catAx>
        <c:axId val="119359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572784"/>
        <c:crosses val="autoZero"/>
        <c:auto val="1"/>
        <c:lblAlgn val="ctr"/>
        <c:lblOffset val="100"/>
        <c:noMultiLvlLbl val="0"/>
      </c:catAx>
      <c:valAx>
        <c:axId val="37157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59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27_Final Project.xlsx]AML_Analysis!PivotTable6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AML_Analysis!$H$1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AML_Analysis!$G$2:$G$4</c:f>
              <c:strCache>
                <c:ptCount val="2"/>
                <c:pt idx="0">
                  <c:v>HIGH RISK</c:v>
                </c:pt>
                <c:pt idx="1">
                  <c:v>NORMAL</c:v>
                </c:pt>
              </c:strCache>
            </c:strRef>
          </c:cat>
          <c:val>
            <c:numRef>
              <c:f>AML_Analysis!$H$2:$H$4</c:f>
              <c:numCache>
                <c:formatCode>General</c:formatCode>
                <c:ptCount val="2"/>
                <c:pt idx="0">
                  <c:v>8</c:v>
                </c:pt>
                <c:pt idx="1">
                  <c:v>10</c:v>
                </c:pt>
              </c:numCache>
            </c:numRef>
          </c:val>
          <c:extLst>
            <c:ext xmlns:c16="http://schemas.microsoft.com/office/drawing/2014/chart" uri="{C3380CC4-5D6E-409C-BE32-E72D297353CC}">
              <c16:uniqueId val="{00000000-1E71-4263-AD8D-AFEE5D92691D}"/>
            </c:ext>
          </c:extLst>
        </c:ser>
        <c:dLbls>
          <c:showLegendKey val="0"/>
          <c:showVal val="0"/>
          <c:showCatName val="0"/>
          <c:showSerName val="0"/>
          <c:showPercent val="0"/>
          <c:showBubbleSize val="0"/>
        </c:dLbls>
        <c:gapWidth val="219"/>
        <c:overlap val="-27"/>
        <c:axId val="380198336"/>
        <c:axId val="371554544"/>
      </c:barChart>
      <c:catAx>
        <c:axId val="38019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554544"/>
        <c:crosses val="autoZero"/>
        <c:auto val="1"/>
        <c:lblAlgn val="ctr"/>
        <c:lblOffset val="100"/>
        <c:noMultiLvlLbl val="0"/>
      </c:catAx>
      <c:valAx>
        <c:axId val="37155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27_Final Project.xlsx]AML_Analysis!PivotTable5</c:name>
    <c:fmtId val="4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AML_Analysis!$K$1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AML_Analysis!$J$2:$J$52</c:f>
              <c:multiLvlStrCache>
                <c:ptCount val="18"/>
                <c:lvl>
                  <c:pt idx="0">
                    <c:v>TX002</c:v>
                  </c:pt>
                  <c:pt idx="1">
                    <c:v>TX008</c:v>
                  </c:pt>
                  <c:pt idx="2">
                    <c:v>TX014</c:v>
                  </c:pt>
                  <c:pt idx="3">
                    <c:v>TX018</c:v>
                  </c:pt>
                  <c:pt idx="4">
                    <c:v>TX005</c:v>
                  </c:pt>
                  <c:pt idx="5">
                    <c:v>TX009</c:v>
                  </c:pt>
                  <c:pt idx="6">
                    <c:v>TX015</c:v>
                  </c:pt>
                  <c:pt idx="7">
                    <c:v>TX010</c:v>
                  </c:pt>
                  <c:pt idx="8">
                    <c:v>TX006</c:v>
                  </c:pt>
                  <c:pt idx="9">
                    <c:v>TX001</c:v>
                  </c:pt>
                  <c:pt idx="10">
                    <c:v>TX007</c:v>
                  </c:pt>
                  <c:pt idx="11">
                    <c:v>TX003</c:v>
                  </c:pt>
                  <c:pt idx="12">
                    <c:v>TX013</c:v>
                  </c:pt>
                  <c:pt idx="13">
                    <c:v>TX011</c:v>
                  </c:pt>
                  <c:pt idx="14">
                    <c:v>TX004</c:v>
                  </c:pt>
                  <c:pt idx="15">
                    <c:v>TX012</c:v>
                  </c:pt>
                  <c:pt idx="16">
                    <c:v>TX016</c:v>
                  </c:pt>
                  <c:pt idx="17">
                    <c:v>TX017</c:v>
                  </c:pt>
                </c:lvl>
                <c:lvl>
                  <c:pt idx="0">
                    <c:v>Ahmed Khan</c:v>
                  </c:pt>
                  <c:pt idx="4">
                    <c:v>Alex Brown</c:v>
                  </c:pt>
                  <c:pt idx="5">
                    <c:v>Chen Li</c:v>
                  </c:pt>
                  <c:pt idx="6">
                    <c:v>Daniel Novak</c:v>
                  </c:pt>
                  <c:pt idx="7">
                    <c:v>David Miller</c:v>
                  </c:pt>
                  <c:pt idx="8">
                    <c:v>James Wilson</c:v>
                  </c:pt>
                  <c:pt idx="9">
                    <c:v>John Smith</c:v>
                  </c:pt>
                  <c:pt idx="10">
                    <c:v>Laura Rossi</c:v>
                  </c:pt>
                  <c:pt idx="11">
                    <c:v>Maria Garcia</c:v>
                  </c:pt>
                  <c:pt idx="12">
                    <c:v>Robert Taylor</c:v>
                  </c:pt>
                  <c:pt idx="13">
                    <c:v>Sofia Martin</c:v>
                  </c:pt>
                  <c:pt idx="14">
                    <c:v>Zhang Wei</c:v>
                  </c:pt>
                  <c:pt idx="16">
                    <c:v>Michael Lee</c:v>
                  </c:pt>
                  <c:pt idx="17">
                    <c:v>Anna Kowalska</c:v>
                  </c:pt>
                </c:lvl>
              </c:multiLvlStrCache>
            </c:multiLvlStrRef>
          </c:cat>
          <c:val>
            <c:numRef>
              <c:f>AML_Analysis!$K$2:$K$52</c:f>
              <c:numCache>
                <c:formatCode>General</c:formatCode>
                <c:ptCount val="18"/>
                <c:pt idx="0">
                  <c:v>35000</c:v>
                </c:pt>
                <c:pt idx="1">
                  <c:v>55000</c:v>
                </c:pt>
                <c:pt idx="2">
                  <c:v>25000</c:v>
                </c:pt>
                <c:pt idx="3">
                  <c:v>8000</c:v>
                </c:pt>
                <c:pt idx="4">
                  <c:v>7500</c:v>
                </c:pt>
                <c:pt idx="5">
                  <c:v>18000</c:v>
                </c:pt>
                <c:pt idx="6">
                  <c:v>3000</c:v>
                </c:pt>
                <c:pt idx="7">
                  <c:v>4000</c:v>
                </c:pt>
                <c:pt idx="8">
                  <c:v>12000</c:v>
                </c:pt>
                <c:pt idx="9">
                  <c:v>2500</c:v>
                </c:pt>
                <c:pt idx="10">
                  <c:v>9000</c:v>
                </c:pt>
                <c:pt idx="11">
                  <c:v>15000</c:v>
                </c:pt>
                <c:pt idx="12">
                  <c:v>5000</c:v>
                </c:pt>
                <c:pt idx="13">
                  <c:v>11000</c:v>
                </c:pt>
                <c:pt idx="14">
                  <c:v>42000</c:v>
                </c:pt>
                <c:pt idx="15">
                  <c:v>60000</c:v>
                </c:pt>
                <c:pt idx="16">
                  <c:v>75000</c:v>
                </c:pt>
                <c:pt idx="17">
                  <c:v>2000</c:v>
                </c:pt>
              </c:numCache>
            </c:numRef>
          </c:val>
          <c:extLst>
            <c:ext xmlns:c16="http://schemas.microsoft.com/office/drawing/2014/chart" uri="{C3380CC4-5D6E-409C-BE32-E72D297353CC}">
              <c16:uniqueId val="{00000000-3D75-4C72-AA44-4ACE93778900}"/>
            </c:ext>
          </c:extLst>
        </c:ser>
        <c:dLbls>
          <c:showLegendKey val="0"/>
          <c:showVal val="0"/>
          <c:showCatName val="0"/>
          <c:showSerName val="0"/>
          <c:showPercent val="0"/>
          <c:showBubbleSize val="0"/>
        </c:dLbls>
        <c:gapWidth val="150"/>
        <c:overlap val="100"/>
        <c:axId val="1060787183"/>
        <c:axId val="371562224"/>
      </c:barChart>
      <c:catAx>
        <c:axId val="106078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562224"/>
        <c:crosses val="autoZero"/>
        <c:auto val="1"/>
        <c:lblAlgn val="ctr"/>
        <c:lblOffset val="100"/>
        <c:noMultiLvlLbl val="0"/>
      </c:catAx>
      <c:valAx>
        <c:axId val="37156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8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160020</xdr:rowOff>
    </xdr:from>
    <xdr:to>
      <xdr:col>3</xdr:col>
      <xdr:colOff>7620</xdr:colOff>
      <xdr:row>21</xdr:row>
      <xdr:rowOff>0</xdr:rowOff>
    </xdr:to>
    <xdr:graphicFrame macro="">
      <xdr:nvGraphicFramePr>
        <xdr:cNvPr id="3" name="Chart 2">
          <a:extLst>
            <a:ext uri="{FF2B5EF4-FFF2-40B4-BE49-F238E27FC236}">
              <a16:creationId xmlns:a16="http://schemas.microsoft.com/office/drawing/2014/main" id="{16813B24-6084-4792-A81E-660DD8CCE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3</xdr:col>
      <xdr:colOff>15240</xdr:colOff>
      <xdr:row>39</xdr:row>
      <xdr:rowOff>0</xdr:rowOff>
    </xdr:to>
    <xdr:graphicFrame macro="">
      <xdr:nvGraphicFramePr>
        <xdr:cNvPr id="4" name="Chart 3">
          <a:extLst>
            <a:ext uri="{FF2B5EF4-FFF2-40B4-BE49-F238E27FC236}">
              <a16:creationId xmlns:a16="http://schemas.microsoft.com/office/drawing/2014/main" id="{A5E17BE3-179D-4000-B920-151801AD9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1272540</xdr:colOff>
      <xdr:row>8</xdr:row>
      <xdr:rowOff>0</xdr:rowOff>
    </xdr:from>
    <xdr:to>
      <xdr:col>10</xdr:col>
      <xdr:colOff>7620</xdr:colOff>
      <xdr:row>21</xdr:row>
      <xdr:rowOff>0</xdr:rowOff>
    </xdr:to>
    <xdr:graphicFrame macro="">
      <xdr:nvGraphicFramePr>
        <xdr:cNvPr id="5" name="Chart 4">
          <a:extLst>
            <a:ext uri="{FF2B5EF4-FFF2-40B4-BE49-F238E27FC236}">
              <a16:creationId xmlns:a16="http://schemas.microsoft.com/office/drawing/2014/main" id="{4903DCB0-ED2C-4935-B065-C949BBE1B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25</xdr:row>
      <xdr:rowOff>22860</xdr:rowOff>
    </xdr:from>
    <xdr:to>
      <xdr:col>10</xdr:col>
      <xdr:colOff>22860</xdr:colOff>
      <xdr:row>38</xdr:row>
      <xdr:rowOff>160020</xdr:rowOff>
    </xdr:to>
    <xdr:graphicFrame macro="">
      <xdr:nvGraphicFramePr>
        <xdr:cNvPr id="6" name="Chart 5">
          <a:extLst>
            <a:ext uri="{FF2B5EF4-FFF2-40B4-BE49-F238E27FC236}">
              <a16:creationId xmlns:a16="http://schemas.microsoft.com/office/drawing/2014/main" id="{D2BB1FE0-A063-405A-AF8B-5BBCD7B72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xdr:colOff>
      <xdr:row>41</xdr:row>
      <xdr:rowOff>175260</xdr:rowOff>
    </xdr:from>
    <xdr:to>
      <xdr:col>1</xdr:col>
      <xdr:colOff>594360</xdr:colOff>
      <xdr:row>55</xdr:row>
      <xdr:rowOff>81915</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D7C04510-D81A-4EFA-BE84-9200B47C674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620" y="7688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42</xdr:row>
      <xdr:rowOff>7620</xdr:rowOff>
    </xdr:from>
    <xdr:to>
      <xdr:col>3</xdr:col>
      <xdr:colOff>754380</xdr:colOff>
      <xdr:row>55</xdr:row>
      <xdr:rowOff>97155</xdr:rowOff>
    </xdr:to>
    <mc:AlternateContent xmlns:mc="http://schemas.openxmlformats.org/markup-compatibility/2006" xmlns:a14="http://schemas.microsoft.com/office/drawing/2010/main">
      <mc:Choice Requires="a14">
        <xdr:graphicFrame macro="">
          <xdr:nvGraphicFramePr>
            <xdr:cNvPr id="12" name="Risk Level 1">
              <a:extLst>
                <a:ext uri="{FF2B5EF4-FFF2-40B4-BE49-F238E27FC236}">
                  <a16:creationId xmlns:a16="http://schemas.microsoft.com/office/drawing/2014/main" id="{6C0F4C7D-42ED-4505-A611-121CC3CAB853}"/>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2438400" y="7703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42</xdr:row>
      <xdr:rowOff>7620</xdr:rowOff>
    </xdr:from>
    <xdr:to>
      <xdr:col>7</xdr:col>
      <xdr:colOff>419100</xdr:colOff>
      <xdr:row>55</xdr:row>
      <xdr:rowOff>97155</xdr:rowOff>
    </xdr:to>
    <mc:AlternateContent xmlns:mc="http://schemas.openxmlformats.org/markup-compatibility/2006" xmlns:a14="http://schemas.microsoft.com/office/drawing/2010/main">
      <mc:Choice Requires="a14">
        <xdr:graphicFrame macro="">
          <xdr:nvGraphicFramePr>
            <xdr:cNvPr id="13" name="Final AML Status">
              <a:extLst>
                <a:ext uri="{FF2B5EF4-FFF2-40B4-BE49-F238E27FC236}">
                  <a16:creationId xmlns:a16="http://schemas.microsoft.com/office/drawing/2014/main" id="{0EDC57CD-219F-4112-BD5C-9C81217195E5}"/>
                </a:ext>
              </a:extLst>
            </xdr:cNvPr>
            <xdr:cNvGraphicFramePr/>
          </xdr:nvGraphicFramePr>
          <xdr:xfrm>
            <a:off x="0" y="0"/>
            <a:ext cx="0" cy="0"/>
          </xdr:xfrm>
          <a:graphic>
            <a:graphicData uri="http://schemas.microsoft.com/office/drawing/2010/slicer">
              <sle:slicer xmlns:sle="http://schemas.microsoft.com/office/drawing/2010/slicer" name="Final AML Status"/>
            </a:graphicData>
          </a:graphic>
        </xdr:graphicFrame>
      </mc:Choice>
      <mc:Fallback xmlns="">
        <xdr:sp macro="" textlink="">
          <xdr:nvSpPr>
            <xdr:cNvPr id="0" name=""/>
            <xdr:cNvSpPr>
              <a:spLocks noTextEdit="1"/>
            </xdr:cNvSpPr>
          </xdr:nvSpPr>
          <xdr:spPr>
            <a:xfrm>
              <a:off x="4968240" y="7703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3.72432361111" createdVersion="8" refreshedVersion="8" minRefreshableVersion="3" recordCount="18" xr:uid="{25204C97-BB6D-4FE5-A16A-84F3C0008291}">
  <cacheSource type="worksheet">
    <worksheetSource name="Merge1"/>
  </cacheSource>
  <cacheFields count="16">
    <cacheField name="Source.Name" numFmtId="0">
      <sharedItems/>
    </cacheField>
    <cacheField name="Transaction ID" numFmtId="0">
      <sharedItems count="18">
        <s v="TX001"/>
        <s v="TX002"/>
        <s v="TX003"/>
        <s v="TX004"/>
        <s v="TX005"/>
        <s v="TX006"/>
        <s v="TX007"/>
        <s v="TX008"/>
        <s v="TX009"/>
        <s v="TX010"/>
        <s v="TX011"/>
        <s v="TX012"/>
        <s v="TX013"/>
        <s v="TX014"/>
        <s v="TX015"/>
        <s v="TX016"/>
        <s v="TX017"/>
        <s v="TX018"/>
      </sharedItems>
    </cacheField>
    <cacheField name="Customer ID" numFmtId="0">
      <sharedItems/>
    </cacheField>
    <cacheField name="Customer Name" numFmtId="0">
      <sharedItems count="14">
        <s v="John Smith"/>
        <s v="Ahmed Khan"/>
        <s v="Maria Garcia"/>
        <s v="Zhang Wei"/>
        <s v="Alex Brown"/>
        <s v="James Wilson"/>
        <s v="Laura Rossi"/>
        <s v="Chen Li"/>
        <s v="David Miller"/>
        <s v="Sofia Martin"/>
        <s v="Robert Taylor"/>
        <s v="Daniel Novak"/>
        <s v="Michael Lee"/>
        <s v="Anna Kowalska"/>
      </sharedItems>
    </cacheField>
    <cacheField name="Country" numFmtId="0">
      <sharedItems count="7">
        <s v="Poland"/>
        <s v="UAE"/>
        <s v="Spain"/>
        <s v="China"/>
        <s v="UK"/>
        <s v="Italy"/>
        <s v="France"/>
      </sharedItems>
    </cacheField>
    <cacheField name="Amount" numFmtId="0">
      <sharedItems containsSemiMixedTypes="0" containsString="0" containsNumber="1" containsInteger="1" minValue="2000" maxValue="75000"/>
    </cacheField>
    <cacheField name="Channel" numFmtId="0">
      <sharedItems/>
    </cacheField>
    <cacheField name="Transaction Type" numFmtId="0">
      <sharedItems/>
    </cacheField>
    <cacheField name="Risk Level" numFmtId="0">
      <sharedItems count="3">
        <s v="LOW"/>
        <s v="HIGH"/>
        <s v="MEDIUM"/>
      </sharedItems>
    </cacheField>
    <cacheField name="Date" numFmtId="14">
      <sharedItems containsSemiMixedTypes="0" containsNonDate="0" containsDate="1" containsString="0" minDate="2026-01-08T00:00:00" maxDate="2026-04-09T00:00:00"/>
    </cacheField>
    <cacheField name="Amount Flag" numFmtId="0">
      <sharedItems/>
    </cacheField>
    <cacheField name="Risk Flag" numFmtId="0">
      <sharedItems count="2">
        <s v="NORMAL"/>
        <s v="HIGH RISK"/>
      </sharedItems>
    </cacheField>
    <cacheField name="AML Alert" numFmtId="0">
      <sharedItems/>
    </cacheField>
    <cacheField name="Sanctions Status" numFmtId="0">
      <sharedItems containsBlank="1"/>
    </cacheField>
    <cacheField name="Reason" numFmtId="0">
      <sharedItems containsBlank="1"/>
    </cacheField>
    <cacheField name="Final AML Status" numFmtId="0">
      <sharedItems count="3">
        <s v="NORMAL"/>
        <s v="SANCTIONS REVIEW"/>
        <s v="TRANSACTION REVIEW"/>
      </sharedItems>
    </cacheField>
  </cacheFields>
  <extLst>
    <ext xmlns:x14="http://schemas.microsoft.com/office/spreadsheetml/2009/9/main" uri="{725AE2AE-9491-48be-B2B4-4EB974FC3084}">
      <x14:pivotCacheDefinition pivotCacheId="1904705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2026-08-01.csv"/>
    <x v="0"/>
    <s v="C001"/>
    <x v="0"/>
    <x v="0"/>
    <n v="2500"/>
    <s v="Online"/>
    <s v="Transfer"/>
    <x v="0"/>
    <d v="2026-01-08T00:00:00"/>
    <s v="NORMAL"/>
    <x v="0"/>
    <s v="NORMAL"/>
    <m/>
    <m/>
    <x v="0"/>
  </r>
  <r>
    <s v="2026-08-01.csv"/>
    <x v="1"/>
    <s v="C002"/>
    <x v="1"/>
    <x v="1"/>
    <n v="35000"/>
    <s v="Online"/>
    <s v="Transfer"/>
    <x v="1"/>
    <d v="2026-01-08T00:00:00"/>
    <s v="ABOVE THRESHOLD"/>
    <x v="1"/>
    <s v="REVIEW"/>
    <s v="LISTED"/>
    <s v="Financial Crime"/>
    <x v="1"/>
  </r>
  <r>
    <s v="2026-08-01.csv"/>
    <x v="2"/>
    <s v="C003"/>
    <x v="2"/>
    <x v="2"/>
    <n v="15000"/>
    <s v="Branch"/>
    <s v="Transfer"/>
    <x v="2"/>
    <d v="2026-01-08T00:00:00"/>
    <s v="ABOVE THRESHOLD"/>
    <x v="0"/>
    <s v="NORMAL"/>
    <m/>
    <m/>
    <x v="0"/>
  </r>
  <r>
    <s v="2026-08-01.csv"/>
    <x v="3"/>
    <s v="C004"/>
    <x v="3"/>
    <x v="3"/>
    <n v="42000"/>
    <s v="Online"/>
    <s v="Transfer"/>
    <x v="1"/>
    <d v="2026-01-08T00:00:00"/>
    <s v="ABOVE THRESHOLD"/>
    <x v="1"/>
    <s v="REVIEW"/>
    <s v="LISTED"/>
    <s v="Sanctions Evasion"/>
    <x v="1"/>
  </r>
  <r>
    <s v="2026-08-01.csv"/>
    <x v="4"/>
    <s v="C005"/>
    <x v="4"/>
    <x v="0"/>
    <n v="7500"/>
    <s v="ATM"/>
    <s v="Cash Withdrawal"/>
    <x v="0"/>
    <d v="2026-01-08T00:00:00"/>
    <s v="NORMAL"/>
    <x v="0"/>
    <s v="NORMAL"/>
    <m/>
    <m/>
    <x v="0"/>
  </r>
  <r>
    <s v="2026-08-02.csv"/>
    <x v="5"/>
    <s v="C006"/>
    <x v="5"/>
    <x v="4"/>
    <n v="12000"/>
    <s v="Online"/>
    <s v="Transfer"/>
    <x v="2"/>
    <d v="2026-02-08T00:00:00"/>
    <s v="ABOVE THRESHOLD"/>
    <x v="0"/>
    <s v="NORMAL"/>
    <m/>
    <m/>
    <x v="0"/>
  </r>
  <r>
    <s v="2026-08-02.csv"/>
    <x v="6"/>
    <s v="C007"/>
    <x v="6"/>
    <x v="5"/>
    <n v="9000"/>
    <s v="Branch"/>
    <s v="Transfer"/>
    <x v="0"/>
    <d v="2026-02-08T00:00:00"/>
    <s v="NORMAL"/>
    <x v="0"/>
    <s v="NORMAL"/>
    <m/>
    <m/>
    <x v="0"/>
  </r>
  <r>
    <s v="2026-08-02.csv"/>
    <x v="7"/>
    <s v="C002"/>
    <x v="1"/>
    <x v="1"/>
    <n v="55000"/>
    <s v="Online"/>
    <s v="Transfer"/>
    <x v="1"/>
    <d v="2026-02-08T00:00:00"/>
    <s v="ABOVE THRESHOLD"/>
    <x v="1"/>
    <s v="REVIEW"/>
    <s v="LISTED"/>
    <s v="Financial Crime"/>
    <x v="1"/>
  </r>
  <r>
    <s v="2026-08-02.csv"/>
    <x v="8"/>
    <s v="C008"/>
    <x v="7"/>
    <x v="3"/>
    <n v="18000"/>
    <s v="Online"/>
    <s v="Transfer"/>
    <x v="1"/>
    <d v="2026-02-08T00:00:00"/>
    <s v="ABOVE THRESHOLD"/>
    <x v="1"/>
    <s v="REVIEW"/>
    <m/>
    <m/>
    <x v="2"/>
  </r>
  <r>
    <s v="2026-08-02.csv"/>
    <x v="9"/>
    <s v="C009"/>
    <x v="8"/>
    <x v="4"/>
    <n v="4000"/>
    <s v="ATM"/>
    <s v="Cash Withdrawal"/>
    <x v="0"/>
    <d v="2026-02-08T00:00:00"/>
    <s v="NORMAL"/>
    <x v="0"/>
    <s v="NORMAL"/>
    <m/>
    <m/>
    <x v="0"/>
  </r>
  <r>
    <s v="2026-08-03.csv"/>
    <x v="10"/>
    <s v="C010"/>
    <x v="9"/>
    <x v="2"/>
    <n v="11000"/>
    <s v="Online"/>
    <s v="Transfer"/>
    <x v="2"/>
    <d v="2026-03-08T00:00:00"/>
    <s v="ABOVE THRESHOLD"/>
    <x v="0"/>
    <s v="NORMAL"/>
    <m/>
    <m/>
    <x v="0"/>
  </r>
  <r>
    <s v="2026-08-03.csv"/>
    <x v="11"/>
    <s v="C004"/>
    <x v="3"/>
    <x v="3"/>
    <n v="60000"/>
    <s v="Online"/>
    <s v="Transfer"/>
    <x v="1"/>
    <d v="2026-03-08T00:00:00"/>
    <s v="ABOVE THRESHOLD"/>
    <x v="1"/>
    <s v="REVIEW"/>
    <s v="LISTED"/>
    <s v="Sanctions Evasion"/>
    <x v="1"/>
  </r>
  <r>
    <s v="2026-08-03.csv"/>
    <x v="12"/>
    <s v="C011"/>
    <x v="10"/>
    <x v="6"/>
    <n v="5000"/>
    <s v="Branch"/>
    <s v="Transfer"/>
    <x v="0"/>
    <d v="2026-03-08T00:00:00"/>
    <s v="NORMAL"/>
    <x v="0"/>
    <s v="NORMAL"/>
    <m/>
    <m/>
    <x v="0"/>
  </r>
  <r>
    <s v="2026-08-03.csv"/>
    <x v="13"/>
    <s v="C002"/>
    <x v="1"/>
    <x v="1"/>
    <n v="25000"/>
    <s v="Online"/>
    <s v="Transfer"/>
    <x v="1"/>
    <d v="2026-03-08T00:00:00"/>
    <s v="ABOVE THRESHOLD"/>
    <x v="1"/>
    <s v="REVIEW"/>
    <s v="LISTED"/>
    <s v="Financial Crime"/>
    <x v="1"/>
  </r>
  <r>
    <s v="2026-08-03.csv"/>
    <x v="14"/>
    <s v="C012"/>
    <x v="11"/>
    <x v="0"/>
    <n v="3000"/>
    <s v="ATM"/>
    <s v="Cash Withdrawal"/>
    <x v="0"/>
    <d v="2026-03-08T00:00:00"/>
    <s v="NORMAL"/>
    <x v="0"/>
    <s v="NORMAL"/>
    <m/>
    <m/>
    <x v="0"/>
  </r>
  <r>
    <s v="2026-08-04.csv"/>
    <x v="15"/>
    <s v="C013"/>
    <x v="12"/>
    <x v="1"/>
    <n v="75000"/>
    <s v="Online"/>
    <s v="Transfer"/>
    <x v="1"/>
    <d v="2026-04-08T00:00:00"/>
    <s v="ABOVE THRESHOLD"/>
    <x v="1"/>
    <s v="REVIEW"/>
    <m/>
    <m/>
    <x v="2"/>
  </r>
  <r>
    <s v="2026-08-04.csv"/>
    <x v="16"/>
    <s v="C014"/>
    <x v="13"/>
    <x v="0"/>
    <n v="2000"/>
    <s v="Branch"/>
    <s v="Transfer"/>
    <x v="0"/>
    <d v="2026-04-08T00:00:00"/>
    <s v="NORMAL"/>
    <x v="0"/>
    <s v="NORMAL"/>
    <m/>
    <m/>
    <x v="0"/>
  </r>
  <r>
    <s v="2026-08-04.csv"/>
    <x v="17"/>
    <s v="C002"/>
    <x v="1"/>
    <x v="1"/>
    <n v="8000"/>
    <s v="Online"/>
    <s v="Transfer"/>
    <x v="1"/>
    <d v="2026-04-08T00:00:00"/>
    <s v="NORMAL"/>
    <x v="1"/>
    <s v="NORMAL"/>
    <s v="LISTED"/>
    <s v="Financial Crim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0AB8F-B575-47CB-AED1-73480CB46E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E18" firstHeaderRow="1" firstDataRow="1" firstDataCol="1"/>
  <pivotFields count="16">
    <pivotField showAll="0"/>
    <pivotField showAll="0"/>
    <pivotField showAll="0"/>
    <pivotField showAll="0"/>
    <pivotField axis="axisRow" showAll="0">
      <items count="8">
        <item x="3"/>
        <item x="6"/>
        <item x="5"/>
        <item x="0"/>
        <item x="2"/>
        <item x="1"/>
        <item x="4"/>
        <item t="default"/>
      </items>
    </pivotField>
    <pivotField dataField="1" showAll="0"/>
    <pivotField showAll="0"/>
    <pivotField showAll="0"/>
    <pivotField showAll="0">
      <items count="4">
        <item x="1"/>
        <item x="0"/>
        <item x="2"/>
        <item t="default"/>
      </items>
    </pivotField>
    <pivotField numFmtId="14" showAll="0"/>
    <pivotField showAll="0"/>
    <pivotField showAll="0"/>
    <pivotField showAll="0"/>
    <pivotField showAll="0"/>
    <pivotField showAll="0"/>
    <pivotField axis="axisRow" showAll="0">
      <items count="4">
        <item x="0"/>
        <item x="1"/>
        <item x="2"/>
        <item t="default"/>
      </items>
    </pivotField>
  </pivotFields>
  <rowFields count="2">
    <field x="4"/>
    <field x="15"/>
  </rowFields>
  <rowItems count="17">
    <i>
      <x/>
    </i>
    <i r="1">
      <x v="1"/>
    </i>
    <i r="1">
      <x v="2"/>
    </i>
    <i>
      <x v="1"/>
    </i>
    <i r="1">
      <x/>
    </i>
    <i>
      <x v="2"/>
    </i>
    <i r="1">
      <x/>
    </i>
    <i>
      <x v="3"/>
    </i>
    <i r="1">
      <x/>
    </i>
    <i>
      <x v="4"/>
    </i>
    <i r="1">
      <x/>
    </i>
    <i>
      <x v="5"/>
    </i>
    <i r="1">
      <x v="1"/>
    </i>
    <i r="1">
      <x v="2"/>
    </i>
    <i>
      <x v="6"/>
    </i>
    <i r="1">
      <x/>
    </i>
    <i t="grand">
      <x/>
    </i>
  </rowItems>
  <colItems count="1">
    <i/>
  </colItems>
  <dataFields count="1">
    <dataField name="Sum of Amount"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71D01B-9CCD-426F-AE66-BA18E4DE62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4" firstHeaderRow="1" firstDataRow="1" firstDataCol="1"/>
  <pivotFields count="16">
    <pivotField showAll="0"/>
    <pivotField showAll="0"/>
    <pivotField showAll="0"/>
    <pivotField showAll="0"/>
    <pivotField showAll="0">
      <items count="8">
        <item x="3"/>
        <item x="6"/>
        <item x="5"/>
        <item x="0"/>
        <item x="2"/>
        <item x="1"/>
        <item x="4"/>
        <item t="default"/>
      </items>
    </pivotField>
    <pivotField dataField="1" showAll="0"/>
    <pivotField showAll="0"/>
    <pivotField showAll="0"/>
    <pivotField showAll="0">
      <items count="4">
        <item x="1"/>
        <item x="0"/>
        <item x="2"/>
        <item t="default"/>
      </items>
    </pivotField>
    <pivotField numFmtId="14" showAll="0"/>
    <pivotField showAll="0"/>
    <pivotField axis="axisRow" showAll="0">
      <items count="3">
        <item x="1"/>
        <item x="0"/>
        <item t="default"/>
      </items>
    </pivotField>
    <pivotField showAll="0"/>
    <pivotField showAll="0"/>
    <pivotField showAll="0"/>
    <pivotField showAll="0">
      <items count="4">
        <item x="0"/>
        <item x="1"/>
        <item x="2"/>
        <item t="default"/>
      </items>
    </pivotField>
  </pivotFields>
  <rowFields count="1">
    <field x="11"/>
  </rowFields>
  <rowItems count="3">
    <i>
      <x/>
    </i>
    <i>
      <x v="1"/>
    </i>
    <i t="grand">
      <x/>
    </i>
  </rowItems>
  <colItems count="1">
    <i/>
  </colItems>
  <dataFields count="1">
    <dataField name="Count of Amount" fld="5" subtotal="count" baseField="1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5DDFE0-C963-4027-A84B-AA7A0EC2A8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J1:K52" firstHeaderRow="1" firstDataRow="1" firstDataCol="1"/>
  <pivotFields count="16">
    <pivotField showAll="0"/>
    <pivotField axis="axisRow" showAll="0" countASubtotal="1">
      <items count="19">
        <item x="0"/>
        <item x="1"/>
        <item x="2"/>
        <item x="3"/>
        <item x="4"/>
        <item x="5"/>
        <item x="6"/>
        <item x="7"/>
        <item x="8"/>
        <item x="9"/>
        <item x="10"/>
        <item x="11"/>
        <item x="12"/>
        <item x="13"/>
        <item x="14"/>
        <item x="15"/>
        <item x="16"/>
        <item x="17"/>
        <item t="countA"/>
      </items>
    </pivotField>
    <pivotField showAll="0" countASubtotal="1"/>
    <pivotField axis="axisRow" showAll="0">
      <items count="15">
        <item x="1"/>
        <item x="4"/>
        <item x="7"/>
        <item x="11"/>
        <item x="8"/>
        <item x="5"/>
        <item x="0"/>
        <item x="6"/>
        <item x="2"/>
        <item x="10"/>
        <item x="9"/>
        <item x="3"/>
        <item x="12"/>
        <item x="13"/>
        <item t="default"/>
      </items>
    </pivotField>
    <pivotField showAll="0">
      <items count="8">
        <item x="3"/>
        <item x="6"/>
        <item x="5"/>
        <item x="0"/>
        <item x="2"/>
        <item x="1"/>
        <item x="4"/>
        <item t="default"/>
      </items>
    </pivotField>
    <pivotField dataField="1" showAll="0"/>
    <pivotField showAll="0"/>
    <pivotField showAll="0"/>
    <pivotField showAll="0">
      <items count="4">
        <item x="1"/>
        <item x="0"/>
        <item x="2"/>
        <item t="default"/>
      </items>
    </pivotField>
    <pivotField numFmtId="14" showAll="0"/>
    <pivotField showAll="0"/>
    <pivotField showAll="0"/>
    <pivotField showAll="0"/>
    <pivotField showAll="0"/>
    <pivotField showAll="0"/>
    <pivotField showAll="0">
      <items count="4">
        <item x="0"/>
        <item x="1"/>
        <item x="2"/>
        <item t="default"/>
      </items>
    </pivotField>
  </pivotFields>
  <rowFields count="2">
    <field x="3"/>
    <field x="1"/>
  </rowFields>
  <rowItems count="51">
    <i>
      <x/>
    </i>
    <i r="1">
      <x v="1"/>
    </i>
    <i r="1">
      <x v="7"/>
    </i>
    <i r="1">
      <x v="13"/>
    </i>
    <i r="1">
      <x v="17"/>
    </i>
    <i>
      <x v="1"/>
    </i>
    <i r="1">
      <x v="4"/>
    </i>
    <i>
      <x v="2"/>
    </i>
    <i r="1">
      <x v="8"/>
    </i>
    <i>
      <x v="3"/>
    </i>
    <i r="1">
      <x v="14"/>
    </i>
    <i>
      <x v="4"/>
    </i>
    <i r="1">
      <x v="9"/>
    </i>
    <i>
      <x v="5"/>
    </i>
    <i r="1">
      <x v="5"/>
    </i>
    <i>
      <x v="6"/>
    </i>
    <i r="1">
      <x/>
    </i>
    <i>
      <x v="7"/>
    </i>
    <i r="1">
      <x v="6"/>
    </i>
    <i>
      <x v="8"/>
    </i>
    <i r="1">
      <x v="2"/>
    </i>
    <i>
      <x v="9"/>
    </i>
    <i r="1">
      <x v="12"/>
    </i>
    <i>
      <x v="10"/>
    </i>
    <i r="1">
      <x v="10"/>
    </i>
    <i>
      <x v="11"/>
    </i>
    <i r="1">
      <x v="3"/>
    </i>
    <i r="1">
      <x v="11"/>
    </i>
    <i>
      <x v="12"/>
    </i>
    <i r="1">
      <x v="15"/>
    </i>
    <i>
      <x v="13"/>
    </i>
    <i r="1">
      <x v="16"/>
    </i>
    <i t="countA">
      <x v="1048832"/>
      <x/>
    </i>
    <i t="countA" r="1">
      <x v="1"/>
    </i>
    <i t="countA" r="1">
      <x v="2"/>
    </i>
    <i t="countA" r="1">
      <x v="3"/>
    </i>
    <i t="countA" r="1">
      <x v="4"/>
    </i>
    <i t="countA" r="1">
      <x v="5"/>
    </i>
    <i t="countA" r="1">
      <x v="6"/>
    </i>
    <i t="countA" r="1">
      <x v="7"/>
    </i>
    <i t="countA" r="1">
      <x v="8"/>
    </i>
    <i t="countA" r="1">
      <x v="9"/>
    </i>
    <i t="countA" r="1">
      <x v="10"/>
    </i>
    <i t="countA" r="1">
      <x v="11"/>
    </i>
    <i t="countA" r="1">
      <x v="12"/>
    </i>
    <i t="countA" r="1">
      <x v="13"/>
    </i>
    <i t="countA" r="1">
      <x v="14"/>
    </i>
    <i t="countA" r="1">
      <x v="15"/>
    </i>
    <i t="countA" r="1">
      <x v="16"/>
    </i>
    <i t="countA" r="1">
      <x v="17"/>
    </i>
    <i t="grand">
      <x/>
    </i>
  </rowItems>
  <colItems count="1">
    <i/>
  </colItems>
  <dataFields count="1">
    <dataField name="Sum of Amount" fld="5" baseField="0" baseItem="0"/>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BF2760-1E1D-44A4-AE62-427CE8C4816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18" firstHeaderRow="1" firstDataRow="1" firstDataCol="1"/>
  <pivotFields count="16">
    <pivotField showAll="0"/>
    <pivotField showAll="0"/>
    <pivotField showAll="0"/>
    <pivotField showAll="0"/>
    <pivotField axis="axisRow" showAll="0">
      <items count="8">
        <item x="3"/>
        <item x="6"/>
        <item x="5"/>
        <item x="0"/>
        <item x="2"/>
        <item x="1"/>
        <item x="4"/>
        <item t="default"/>
      </items>
    </pivotField>
    <pivotField dataField="1" showAll="0"/>
    <pivotField showAll="0"/>
    <pivotField showAll="0"/>
    <pivotField showAll="0">
      <items count="4">
        <item x="1"/>
        <item x="0"/>
        <item x="2"/>
        <item t="default"/>
      </items>
    </pivotField>
    <pivotField numFmtId="14" showAll="0"/>
    <pivotField showAll="0"/>
    <pivotField showAll="0"/>
    <pivotField showAll="0"/>
    <pivotField showAll="0"/>
    <pivotField showAll="0"/>
    <pivotField axis="axisRow" showAll="0">
      <items count="4">
        <item x="0"/>
        <item x="1"/>
        <item x="2"/>
        <item t="default"/>
      </items>
    </pivotField>
  </pivotFields>
  <rowFields count="2">
    <field x="4"/>
    <field x="15"/>
  </rowFields>
  <rowItems count="17">
    <i>
      <x/>
    </i>
    <i r="1">
      <x v="1"/>
    </i>
    <i r="1">
      <x v="2"/>
    </i>
    <i>
      <x v="1"/>
    </i>
    <i r="1">
      <x/>
    </i>
    <i>
      <x v="2"/>
    </i>
    <i r="1">
      <x/>
    </i>
    <i>
      <x v="3"/>
    </i>
    <i r="1">
      <x/>
    </i>
    <i>
      <x v="4"/>
    </i>
    <i r="1">
      <x/>
    </i>
    <i>
      <x v="5"/>
    </i>
    <i r="1">
      <x v="1"/>
    </i>
    <i r="1">
      <x v="2"/>
    </i>
    <i>
      <x v="6"/>
    </i>
    <i r="1">
      <x/>
    </i>
    <i t="grand">
      <x/>
    </i>
  </rowItems>
  <colItems count="1">
    <i/>
  </colItems>
  <dataFields count="1">
    <dataField name="Count of Amount" fld="5" subtotal="count" baseField="4"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029B1F2-385B-42CE-8DA0-3FFB37C3BAE0}" autoFormatId="16" applyNumberFormats="0" applyBorderFormats="0" applyFontFormats="0" applyPatternFormats="0" applyAlignmentFormats="0" applyWidthHeightFormats="0">
  <queryTableRefresh nextId="17">
    <queryTableFields count="16">
      <queryTableField id="1" name="Source.Name" tableColumnId="1"/>
      <queryTableField id="2" name="Transaction ID" tableColumnId="2"/>
      <queryTableField id="3" name="Customer ID" tableColumnId="3"/>
      <queryTableField id="4" name="Customer Name" tableColumnId="4"/>
      <queryTableField id="5" name="Country" tableColumnId="5"/>
      <queryTableField id="6" name="Amount" tableColumnId="6"/>
      <queryTableField id="7" name="Channel" tableColumnId="7"/>
      <queryTableField id="8" name="Transaction Type" tableColumnId="8"/>
      <queryTableField id="9" name="Risk Level" tableColumnId="9"/>
      <queryTableField id="10" name="Date" tableColumnId="10"/>
      <queryTableField id="11" name="Amount Flag" tableColumnId="11"/>
      <queryTableField id="12" name="Risk Flag" tableColumnId="12"/>
      <queryTableField id="13" name="AML Alert" tableColumnId="13"/>
      <queryTableField id="14" name="Sanctions Status" tableColumnId="14"/>
      <queryTableField id="15" name="Reason" tableColumnId="15"/>
      <queryTableField id="16" name="Final AML Statu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FFAA911C-E588-46FF-A112-36634BC9FF2D}"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6DEFDB1-C336-4512-8FD0-317D7A207A08}" sourceName="Country">
  <pivotTables>
    <pivotTable tabId="3" name="PivotTable8"/>
    <pivotTable tabId="3" name="PivotTable5"/>
    <pivotTable tabId="3" name="PivotTable6"/>
    <pivotTable tabId="3" name="PivotTable7"/>
  </pivotTables>
  <data>
    <tabular pivotCacheId="1904705191">
      <items count="7">
        <i x="3" s="1"/>
        <i x="6" s="1"/>
        <i x="5"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CD3B0DB5-CA2A-4759-8262-E1EC7124A865}" sourceName="Risk Level">
  <pivotTables>
    <pivotTable tabId="3" name="PivotTable6"/>
    <pivotTable tabId="3" name="PivotTable5"/>
    <pivotTable tabId="3" name="PivotTable7"/>
    <pivotTable tabId="3" name="PivotTable8"/>
  </pivotTables>
  <data>
    <tabular pivotCacheId="190470519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AML_Status" xr10:uid="{A406D795-1A12-425E-AC39-F624F998AF65}" sourceName="Final AML Status">
  <pivotTables>
    <pivotTable tabId="3" name="PivotTable7"/>
    <pivotTable tabId="3" name="PivotTable5"/>
    <pivotTable tabId="3" name="PivotTable6"/>
    <pivotTable tabId="3" name="PivotTable8"/>
  </pivotTables>
  <data>
    <tabular pivotCacheId="190470519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780803B-79A6-4166-8560-C3685E0EB933}" cache="Slicer_Country" caption="Country" rowHeight="234950"/>
  <slicer name="Risk Level 1" xr10:uid="{00F8C1DD-AA6A-4935-B275-FA35C99E1614}" cache="Slicer_Risk_Level" caption="Risk Level" rowHeight="234950"/>
  <slicer name="Final AML Status" xr10:uid="{271B4923-CBDA-485D-BD8E-9B5F37A80A50}" cache="Slicer_Final_AML_Status" caption="Final AML Status"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4B25EF-9867-4EE2-B2E9-26ADA0640C4A}" name="Table4" displayName="Table4" ref="A2:D3" totalsRowShown="0" headerRowDxfId="28">
  <autoFilter ref="A2:D3" xr:uid="{654B25EF-9867-4EE2-B2E9-26ADA0640C4A}"/>
  <tableColumns count="4">
    <tableColumn id="1" xr3:uid="{0DC05445-7D82-4227-B95B-9AE26F1B8023}" name="Total Transactions">
      <calculatedColumnFormula>COUNTA(Merge1[Transaction ID])</calculatedColumnFormula>
    </tableColumn>
    <tableColumn id="2" xr3:uid="{45291DE9-6227-42E9-B065-195FF11FCFCA}" name="Total Sum of Amount">
      <calculatedColumnFormula>SUM(Merge1[Amount])</calculatedColumnFormula>
    </tableColumn>
    <tableColumn id="3" xr3:uid="{1FFE4BD2-7882-4B18-88E3-776D12D90FBF}" name="Potential Alerts">
      <calculatedColumnFormula>COUNTIF(Merge1[Final AML Status], "SANCTIONS REVIEW") + COUNTIF(Merge1[Final AML Status], "TRANSACTION REVIEW")</calculatedColumnFormula>
    </tableColumn>
    <tableColumn id="4" xr3:uid="{EB6384BF-9CE3-4B59-BB93-081E2E9DB706}" name="Sanctions Matches">
      <calculatedColumnFormula>COUNTIF(Merge1[Final AML Status], "SANCTIONS REVIEW")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CAA2DA-85B5-4761-B0ED-C6241D078CF8}" name="Merge1" displayName="Merge1" ref="A1:P19" tableType="queryTable" totalsRowShown="0">
  <autoFilter ref="A1:P19" xr:uid="{ECCAA2DA-85B5-4761-B0ED-C6241D078CF8}"/>
  <tableColumns count="16">
    <tableColumn id="1" xr3:uid="{BCE9C427-D6A2-4F21-B180-7076DFA45A19}" uniqueName="1" name="Source.Name" queryTableFieldId="1" dataDxfId="27"/>
    <tableColumn id="2" xr3:uid="{1DD93059-45E3-4179-AA4B-351F1999C6F1}" uniqueName="2" name="Transaction ID" queryTableFieldId="2" dataDxfId="26"/>
    <tableColumn id="3" xr3:uid="{BE934C04-9CD8-4A64-B578-4EEF75729687}" uniqueName="3" name="Customer ID" queryTableFieldId="3" dataDxfId="25"/>
    <tableColumn id="4" xr3:uid="{115307BD-DA7A-41E8-943F-D7D4457A2A9C}" uniqueName="4" name="Customer Name" queryTableFieldId="4" dataDxfId="24"/>
    <tableColumn id="5" xr3:uid="{CEB23CF7-DBB3-4E18-9835-299245FFBF54}" uniqueName="5" name="Country" queryTableFieldId="5" dataDxfId="23"/>
    <tableColumn id="6" xr3:uid="{46835AD2-0378-4250-88DB-D6045C479881}" uniqueName="6" name="Amount" queryTableFieldId="6"/>
    <tableColumn id="7" xr3:uid="{FAF4B9EE-0B8C-4814-943B-926E8BA4F5AA}" uniqueName="7" name="Channel" queryTableFieldId="7" dataDxfId="22"/>
    <tableColumn id="8" xr3:uid="{43D141A3-064A-4D65-8E32-A77A9AE556E9}" uniqueName="8" name="Transaction Type" queryTableFieldId="8" dataDxfId="21"/>
    <tableColumn id="9" xr3:uid="{15A5A98C-BBE7-4B39-9647-2505CE50FFA8}" uniqueName="9" name="Risk Level" queryTableFieldId="9" dataDxfId="20"/>
    <tableColumn id="10" xr3:uid="{2C4C2260-3438-4FED-9ACA-76FE3B13FF3A}" uniqueName="10" name="Date" queryTableFieldId="10" dataDxfId="19"/>
    <tableColumn id="11" xr3:uid="{7CAD4643-7409-4DCE-8730-A18D3D3D95B1}" uniqueName="11" name="Amount Flag" queryTableFieldId="11"/>
    <tableColumn id="12" xr3:uid="{8E1B99C5-76E7-4754-9EEB-EB3D36483BBE}" uniqueName="12" name="Risk Flag" queryTableFieldId="12"/>
    <tableColumn id="13" xr3:uid="{210E021E-0C12-4B79-ACB2-A8219E87BBBE}" uniqueName="13" name="AML Alert" queryTableFieldId="13"/>
    <tableColumn id="14" xr3:uid="{6C3B856A-3CD3-484B-B925-614301872DA4}" uniqueName="14" name="Sanctions Status" queryTableFieldId="14" dataDxfId="18"/>
    <tableColumn id="15" xr3:uid="{05CA4F2A-6EA1-4192-8104-812D3D07E1D0}" uniqueName="15" name="Reason" queryTableFieldId="15" dataDxfId="17"/>
    <tableColumn id="16" xr3:uid="{5EDAAD8E-49F3-42D8-9CF3-379E4CC3D8CD}" uniqueName="16" name="Final AML Status"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A794F5-E5EB-49D0-AAB9-B574EF33FED4}" name="Sanctions" displayName="Sanctions" ref="A1:F6" tableType="queryTable" totalsRowShown="0">
  <autoFilter ref="A1:F6" xr:uid="{E6A794F5-E5EB-49D0-AAB9-B574EF33FED4}"/>
  <tableColumns count="6">
    <tableColumn id="1" xr3:uid="{DA8D7795-76A4-4CF1-A465-18A62D34A4A3}" uniqueName="1" name="Column1" queryTableFieldId="1" dataDxfId="16"/>
    <tableColumn id="2" xr3:uid="{524835CE-DC2F-4B72-B4AF-EFDD5907CDDB}" uniqueName="2" name="Column2" queryTableFieldId="2" dataDxfId="15"/>
    <tableColumn id="3" xr3:uid="{8955A8B5-FF39-4D26-8B4B-4E4654F4B6DD}" uniqueName="3" name="Column3" queryTableFieldId="3" dataDxfId="14"/>
    <tableColumn id="4" xr3:uid="{5CC195C1-2943-43DB-B865-AAF1F5D89026}" uniqueName="4" name="Column4" queryTableFieldId="4" dataDxfId="13"/>
    <tableColumn id="5" xr3:uid="{B57DA133-84DA-47CE-BF65-BE8EA7995B95}" uniqueName="5" name="Column5" queryTableFieldId="5" dataDxfId="12"/>
    <tableColumn id="6" xr3:uid="{879332C9-28E1-4010-9BB5-0BB310E9AB23}" uniqueName="6" name="Column6" queryTableFieldId="6"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
  <sheetViews>
    <sheetView workbookViewId="0">
      <selection sqref="A1:K7"/>
    </sheetView>
  </sheetViews>
  <sheetFormatPr defaultRowHeight="14.4" x14ac:dyDescent="0.3"/>
  <sheetData>
    <row r="1" spans="1:18" ht="14.4" customHeight="1" x14ac:dyDescent="0.3">
      <c r="A1" s="8" t="s">
        <v>128</v>
      </c>
      <c r="B1" s="8"/>
      <c r="C1" s="8"/>
      <c r="D1" s="8"/>
      <c r="E1" s="8"/>
      <c r="F1" s="8"/>
      <c r="G1" s="8"/>
      <c r="H1" s="8"/>
      <c r="I1" s="8"/>
      <c r="J1" s="8"/>
      <c r="K1" s="8"/>
      <c r="L1" s="7"/>
      <c r="M1" s="7"/>
      <c r="N1" s="7"/>
      <c r="O1" s="7"/>
      <c r="P1" s="7"/>
      <c r="Q1" s="7"/>
      <c r="R1" s="7"/>
    </row>
    <row r="2" spans="1:18" x14ac:dyDescent="0.3">
      <c r="A2" s="8"/>
      <c r="B2" s="8"/>
      <c r="C2" s="8"/>
      <c r="D2" s="8"/>
      <c r="E2" s="8"/>
      <c r="F2" s="8"/>
      <c r="G2" s="8"/>
      <c r="H2" s="8"/>
      <c r="I2" s="8"/>
      <c r="J2" s="8"/>
      <c r="K2" s="8"/>
      <c r="L2" s="7"/>
      <c r="M2" s="7"/>
      <c r="N2" s="7"/>
      <c r="O2" s="7"/>
      <c r="P2" s="7"/>
      <c r="Q2" s="7"/>
      <c r="R2" s="7"/>
    </row>
    <row r="3" spans="1:18" x14ac:dyDescent="0.3">
      <c r="A3" s="8"/>
      <c r="B3" s="8"/>
      <c r="C3" s="8"/>
      <c r="D3" s="8"/>
      <c r="E3" s="8"/>
      <c r="F3" s="8"/>
      <c r="G3" s="8"/>
      <c r="H3" s="8"/>
      <c r="I3" s="8"/>
      <c r="J3" s="8"/>
      <c r="K3" s="8"/>
      <c r="L3" s="7"/>
      <c r="M3" s="7"/>
      <c r="N3" s="7"/>
      <c r="O3" s="7"/>
      <c r="P3" s="7"/>
      <c r="Q3" s="7"/>
      <c r="R3" s="7"/>
    </row>
    <row r="4" spans="1:18" x14ac:dyDescent="0.3">
      <c r="A4" s="8"/>
      <c r="B4" s="8"/>
      <c r="C4" s="8"/>
      <c r="D4" s="8"/>
      <c r="E4" s="8"/>
      <c r="F4" s="8"/>
      <c r="G4" s="8"/>
      <c r="H4" s="8"/>
      <c r="I4" s="8"/>
      <c r="J4" s="8"/>
      <c r="K4" s="8"/>
      <c r="L4" s="7"/>
      <c r="M4" s="7"/>
      <c r="N4" s="7"/>
      <c r="O4" s="7"/>
      <c r="P4" s="7"/>
      <c r="Q4" s="7"/>
      <c r="R4" s="7"/>
    </row>
    <row r="5" spans="1:18" x14ac:dyDescent="0.3">
      <c r="A5" s="8"/>
      <c r="B5" s="8"/>
      <c r="C5" s="8"/>
      <c r="D5" s="8"/>
      <c r="E5" s="8"/>
      <c r="F5" s="8"/>
      <c r="G5" s="8"/>
      <c r="H5" s="8"/>
      <c r="I5" s="8"/>
      <c r="J5" s="8"/>
      <c r="K5" s="8"/>
      <c r="L5" s="7"/>
      <c r="M5" s="7"/>
      <c r="N5" s="7"/>
      <c r="O5" s="7"/>
      <c r="P5" s="7"/>
      <c r="Q5" s="7"/>
      <c r="R5" s="7"/>
    </row>
    <row r="6" spans="1:18" x14ac:dyDescent="0.3">
      <c r="A6" s="8"/>
      <c r="B6" s="8"/>
      <c r="C6" s="8"/>
      <c r="D6" s="8"/>
      <c r="E6" s="8"/>
      <c r="F6" s="8"/>
      <c r="G6" s="8"/>
      <c r="H6" s="8"/>
      <c r="I6" s="8"/>
      <c r="J6" s="8"/>
      <c r="K6" s="8"/>
      <c r="L6" s="7"/>
      <c r="M6" s="7"/>
      <c r="N6" s="7"/>
      <c r="O6" s="7"/>
      <c r="P6" s="7"/>
      <c r="Q6" s="7"/>
      <c r="R6" s="7"/>
    </row>
    <row r="7" spans="1:18" x14ac:dyDescent="0.3">
      <c r="A7" s="8"/>
      <c r="B7" s="8"/>
      <c r="C7" s="8"/>
      <c r="D7" s="8"/>
      <c r="E7" s="8"/>
      <c r="F7" s="8"/>
      <c r="G7" s="8"/>
      <c r="H7" s="8"/>
      <c r="I7" s="8"/>
      <c r="J7" s="8"/>
      <c r="K7" s="8"/>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D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sheetData>
  <mergeCells count="1">
    <mergeCell ref="A1:K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E455-889F-4A5C-933B-288AA3238623}">
  <dimension ref="A1:K52"/>
  <sheetViews>
    <sheetView topLeftCell="A31" workbookViewId="0">
      <selection activeCell="B3" sqref="B3"/>
    </sheetView>
  </sheetViews>
  <sheetFormatPr defaultRowHeight="14.4" x14ac:dyDescent="0.3"/>
  <cols>
    <col min="1" max="1" width="24.21875" bestFit="1" customWidth="1"/>
    <col min="2" max="2" width="15.77734375" bestFit="1" customWidth="1"/>
    <col min="4" max="4" width="24.21875" bestFit="1" customWidth="1"/>
    <col min="5" max="5" width="14.44140625" bestFit="1" customWidth="1"/>
    <col min="7" max="7" width="12.5546875" bestFit="1" customWidth="1"/>
    <col min="8" max="8" width="15.77734375" bestFit="1" customWidth="1"/>
    <col min="10" max="10" width="15.88671875" bestFit="1" customWidth="1"/>
    <col min="11" max="11" width="14.44140625" bestFit="1" customWidth="1"/>
  </cols>
  <sheetData>
    <row r="1" spans="1:11" x14ac:dyDescent="0.3">
      <c r="A1" s="2" t="s">
        <v>93</v>
      </c>
      <c r="B1" t="s">
        <v>96</v>
      </c>
      <c r="D1" s="2" t="s">
        <v>93</v>
      </c>
      <c r="E1" t="s">
        <v>95</v>
      </c>
      <c r="G1" s="2" t="s">
        <v>93</v>
      </c>
      <c r="H1" t="s">
        <v>96</v>
      </c>
      <c r="J1" s="2" t="s">
        <v>93</v>
      </c>
      <c r="K1" t="s">
        <v>95</v>
      </c>
    </row>
    <row r="2" spans="1:11" x14ac:dyDescent="0.3">
      <c r="A2" s="3" t="s">
        <v>39</v>
      </c>
      <c r="B2">
        <v>3</v>
      </c>
      <c r="D2" s="3" t="s">
        <v>39</v>
      </c>
      <c r="E2">
        <v>120000</v>
      </c>
      <c r="G2" s="3" t="s">
        <v>28</v>
      </c>
      <c r="H2">
        <v>8</v>
      </c>
      <c r="J2" s="3" t="s">
        <v>24</v>
      </c>
      <c r="K2">
        <v>123000</v>
      </c>
    </row>
    <row r="3" spans="1:11" x14ac:dyDescent="0.3">
      <c r="A3" s="4" t="s">
        <v>91</v>
      </c>
      <c r="B3">
        <v>2</v>
      </c>
      <c r="D3" s="4" t="s">
        <v>91</v>
      </c>
      <c r="E3">
        <v>102000</v>
      </c>
      <c r="G3" s="3" t="s">
        <v>21</v>
      </c>
      <c r="H3">
        <v>10</v>
      </c>
      <c r="J3" s="4" t="s">
        <v>22</v>
      </c>
      <c r="K3">
        <v>35000</v>
      </c>
    </row>
    <row r="4" spans="1:11" x14ac:dyDescent="0.3">
      <c r="A4" s="4" t="s">
        <v>92</v>
      </c>
      <c r="B4">
        <v>1</v>
      </c>
      <c r="D4" s="4" t="s">
        <v>92</v>
      </c>
      <c r="E4">
        <v>18000</v>
      </c>
      <c r="G4" s="3" t="s">
        <v>94</v>
      </c>
      <c r="H4">
        <v>18</v>
      </c>
      <c r="J4" s="4" t="s">
        <v>54</v>
      </c>
      <c r="K4">
        <v>55000</v>
      </c>
    </row>
    <row r="5" spans="1:11" x14ac:dyDescent="0.3">
      <c r="A5" s="3" t="s">
        <v>69</v>
      </c>
      <c r="B5">
        <v>1</v>
      </c>
      <c r="D5" s="3" t="s">
        <v>69</v>
      </c>
      <c r="E5">
        <v>5000</v>
      </c>
      <c r="J5" s="4" t="s">
        <v>70</v>
      </c>
      <c r="K5">
        <v>25000</v>
      </c>
    </row>
    <row r="6" spans="1:11" x14ac:dyDescent="0.3">
      <c r="A6" s="4" t="s">
        <v>21</v>
      </c>
      <c r="B6">
        <v>1</v>
      </c>
      <c r="D6" s="4" t="s">
        <v>21</v>
      </c>
      <c r="E6">
        <v>5000</v>
      </c>
      <c r="J6" s="4" t="s">
        <v>124</v>
      </c>
      <c r="K6">
        <v>8000</v>
      </c>
    </row>
    <row r="7" spans="1:11" x14ac:dyDescent="0.3">
      <c r="A7" s="3" t="s">
        <v>53</v>
      </c>
      <c r="B7">
        <v>1</v>
      </c>
      <c r="D7" s="3" t="s">
        <v>53</v>
      </c>
      <c r="E7">
        <v>9000</v>
      </c>
      <c r="J7" s="3" t="s">
        <v>42</v>
      </c>
      <c r="K7">
        <v>7500</v>
      </c>
    </row>
    <row r="8" spans="1:11" x14ac:dyDescent="0.3">
      <c r="A8" s="4" t="s">
        <v>21</v>
      </c>
      <c r="B8">
        <v>1</v>
      </c>
      <c r="D8" s="4" t="s">
        <v>21</v>
      </c>
      <c r="E8">
        <v>9000</v>
      </c>
      <c r="J8" s="4" t="s">
        <v>40</v>
      </c>
      <c r="K8">
        <v>7500</v>
      </c>
    </row>
    <row r="9" spans="1:11" x14ac:dyDescent="0.3">
      <c r="A9" s="3" t="s">
        <v>17</v>
      </c>
      <c r="B9">
        <v>4</v>
      </c>
      <c r="D9" s="3" t="s">
        <v>17</v>
      </c>
      <c r="E9">
        <v>15000</v>
      </c>
      <c r="J9" s="3" t="s">
        <v>57</v>
      </c>
      <c r="K9">
        <v>18000</v>
      </c>
    </row>
    <row r="10" spans="1:11" x14ac:dyDescent="0.3">
      <c r="A10" s="4" t="s">
        <v>21</v>
      </c>
      <c r="B10">
        <v>4</v>
      </c>
      <c r="D10" s="4" t="s">
        <v>21</v>
      </c>
      <c r="E10">
        <v>15000</v>
      </c>
      <c r="J10" s="4" t="s">
        <v>55</v>
      </c>
      <c r="K10">
        <v>18000</v>
      </c>
    </row>
    <row r="11" spans="1:11" x14ac:dyDescent="0.3">
      <c r="A11" s="3" t="s">
        <v>33</v>
      </c>
      <c r="B11">
        <v>2</v>
      </c>
      <c r="D11" s="3" t="s">
        <v>33</v>
      </c>
      <c r="E11">
        <v>26000</v>
      </c>
      <c r="J11" s="3" t="s">
        <v>73</v>
      </c>
      <c r="K11">
        <v>3000</v>
      </c>
    </row>
    <row r="12" spans="1:11" x14ac:dyDescent="0.3">
      <c r="A12" s="4" t="s">
        <v>21</v>
      </c>
      <c r="B12">
        <v>2</v>
      </c>
      <c r="D12" s="4" t="s">
        <v>21</v>
      </c>
      <c r="E12">
        <v>26000</v>
      </c>
      <c r="J12" s="4" t="s">
        <v>71</v>
      </c>
      <c r="K12">
        <v>3000</v>
      </c>
    </row>
    <row r="13" spans="1:11" x14ac:dyDescent="0.3">
      <c r="A13" s="3" t="s">
        <v>25</v>
      </c>
      <c r="B13">
        <v>5</v>
      </c>
      <c r="D13" s="3" t="s">
        <v>25</v>
      </c>
      <c r="E13">
        <v>198000</v>
      </c>
      <c r="J13" s="3" t="s">
        <v>60</v>
      </c>
      <c r="K13">
        <v>4000</v>
      </c>
    </row>
    <row r="14" spans="1:11" x14ac:dyDescent="0.3">
      <c r="A14" s="4" t="s">
        <v>91</v>
      </c>
      <c r="B14">
        <v>4</v>
      </c>
      <c r="D14" s="4" t="s">
        <v>91</v>
      </c>
      <c r="E14">
        <v>123000</v>
      </c>
      <c r="J14" s="4" t="s">
        <v>58</v>
      </c>
      <c r="K14">
        <v>4000</v>
      </c>
    </row>
    <row r="15" spans="1:11" x14ac:dyDescent="0.3">
      <c r="A15" s="4" t="s">
        <v>92</v>
      </c>
      <c r="B15">
        <v>1</v>
      </c>
      <c r="D15" s="4" t="s">
        <v>92</v>
      </c>
      <c r="E15">
        <v>75000</v>
      </c>
      <c r="J15" s="3" t="s">
        <v>48</v>
      </c>
      <c r="K15">
        <v>12000</v>
      </c>
    </row>
    <row r="16" spans="1:11" x14ac:dyDescent="0.3">
      <c r="A16" s="3" t="s">
        <v>49</v>
      </c>
      <c r="B16">
        <v>2</v>
      </c>
      <c r="D16" s="3" t="s">
        <v>49</v>
      </c>
      <c r="E16">
        <v>16000</v>
      </c>
      <c r="J16" s="4" t="s">
        <v>46</v>
      </c>
      <c r="K16">
        <v>12000</v>
      </c>
    </row>
    <row r="17" spans="1:11" x14ac:dyDescent="0.3">
      <c r="A17" s="4" t="s">
        <v>21</v>
      </c>
      <c r="B17">
        <v>2</v>
      </c>
      <c r="D17" s="4" t="s">
        <v>21</v>
      </c>
      <c r="E17">
        <v>16000</v>
      </c>
      <c r="J17" s="3" t="s">
        <v>16</v>
      </c>
      <c r="K17">
        <v>2500</v>
      </c>
    </row>
    <row r="18" spans="1:11" x14ac:dyDescent="0.3">
      <c r="A18" s="3" t="s">
        <v>94</v>
      </c>
      <c r="B18">
        <v>18</v>
      </c>
      <c r="D18" s="3" t="s">
        <v>94</v>
      </c>
      <c r="E18">
        <v>389000</v>
      </c>
      <c r="J18" s="4" t="s">
        <v>14</v>
      </c>
      <c r="K18">
        <v>2500</v>
      </c>
    </row>
    <row r="19" spans="1:11" x14ac:dyDescent="0.3">
      <c r="J19" s="3" t="s">
        <v>52</v>
      </c>
      <c r="K19">
        <v>9000</v>
      </c>
    </row>
    <row r="20" spans="1:11" x14ac:dyDescent="0.3">
      <c r="J20" s="4" t="s">
        <v>50</v>
      </c>
      <c r="K20">
        <v>9000</v>
      </c>
    </row>
    <row r="21" spans="1:11" x14ac:dyDescent="0.3">
      <c r="J21" s="3" t="s">
        <v>32</v>
      </c>
      <c r="K21">
        <v>15000</v>
      </c>
    </row>
    <row r="22" spans="1:11" x14ac:dyDescent="0.3">
      <c r="J22" s="4" t="s">
        <v>30</v>
      </c>
      <c r="K22">
        <v>15000</v>
      </c>
    </row>
    <row r="23" spans="1:11" x14ac:dyDescent="0.3">
      <c r="J23" s="3" t="s">
        <v>68</v>
      </c>
      <c r="K23">
        <v>5000</v>
      </c>
    </row>
    <row r="24" spans="1:11" x14ac:dyDescent="0.3">
      <c r="J24" s="4" t="s">
        <v>66</v>
      </c>
      <c r="K24">
        <v>5000</v>
      </c>
    </row>
    <row r="25" spans="1:11" x14ac:dyDescent="0.3">
      <c r="J25" s="3" t="s">
        <v>64</v>
      </c>
      <c r="K25">
        <v>11000</v>
      </c>
    </row>
    <row r="26" spans="1:11" x14ac:dyDescent="0.3">
      <c r="J26" s="4" t="s">
        <v>62</v>
      </c>
      <c r="K26">
        <v>11000</v>
      </c>
    </row>
    <row r="27" spans="1:11" x14ac:dyDescent="0.3">
      <c r="J27" s="3" t="s">
        <v>38</v>
      </c>
      <c r="K27">
        <v>102000</v>
      </c>
    </row>
    <row r="28" spans="1:11" x14ac:dyDescent="0.3">
      <c r="J28" s="4" t="s">
        <v>36</v>
      </c>
      <c r="K28">
        <v>42000</v>
      </c>
    </row>
    <row r="29" spans="1:11" x14ac:dyDescent="0.3">
      <c r="J29" s="4" t="s">
        <v>65</v>
      </c>
      <c r="K29">
        <v>60000</v>
      </c>
    </row>
    <row r="30" spans="1:11" x14ac:dyDescent="0.3">
      <c r="J30" s="3" t="s">
        <v>120</v>
      </c>
      <c r="K30">
        <v>75000</v>
      </c>
    </row>
    <row r="31" spans="1:11" x14ac:dyDescent="0.3">
      <c r="J31" s="4" t="s">
        <v>118</v>
      </c>
      <c r="K31">
        <v>75000</v>
      </c>
    </row>
    <row r="32" spans="1:11" x14ac:dyDescent="0.3">
      <c r="J32" s="3" t="s">
        <v>123</v>
      </c>
      <c r="K32">
        <v>2000</v>
      </c>
    </row>
    <row r="33" spans="10:11" x14ac:dyDescent="0.3">
      <c r="J33" s="4" t="s">
        <v>121</v>
      </c>
      <c r="K33">
        <v>2000</v>
      </c>
    </row>
    <row r="34" spans="10:11" x14ac:dyDescent="0.3">
      <c r="J34" s="4" t="s">
        <v>97</v>
      </c>
      <c r="K34">
        <v>1</v>
      </c>
    </row>
    <row r="35" spans="10:11" x14ac:dyDescent="0.3">
      <c r="J35" s="4" t="s">
        <v>98</v>
      </c>
      <c r="K35">
        <v>1</v>
      </c>
    </row>
    <row r="36" spans="10:11" x14ac:dyDescent="0.3">
      <c r="J36" s="4" t="s">
        <v>99</v>
      </c>
      <c r="K36">
        <v>1</v>
      </c>
    </row>
    <row r="37" spans="10:11" x14ac:dyDescent="0.3">
      <c r="J37" s="4" t="s">
        <v>100</v>
      </c>
      <c r="K37">
        <v>1</v>
      </c>
    </row>
    <row r="38" spans="10:11" x14ac:dyDescent="0.3">
      <c r="J38" s="4" t="s">
        <v>101</v>
      </c>
      <c r="K38">
        <v>1</v>
      </c>
    </row>
    <row r="39" spans="10:11" x14ac:dyDescent="0.3">
      <c r="J39" s="4" t="s">
        <v>102</v>
      </c>
      <c r="K39">
        <v>1</v>
      </c>
    </row>
    <row r="40" spans="10:11" x14ac:dyDescent="0.3">
      <c r="J40" s="4" t="s">
        <v>103</v>
      </c>
      <c r="K40">
        <v>1</v>
      </c>
    </row>
    <row r="41" spans="10:11" x14ac:dyDescent="0.3">
      <c r="J41" s="4" t="s">
        <v>104</v>
      </c>
      <c r="K41">
        <v>1</v>
      </c>
    </row>
    <row r="42" spans="10:11" x14ac:dyDescent="0.3">
      <c r="J42" s="4" t="s">
        <v>105</v>
      </c>
      <c r="K42">
        <v>1</v>
      </c>
    </row>
    <row r="43" spans="10:11" x14ac:dyDescent="0.3">
      <c r="J43" s="4" t="s">
        <v>106</v>
      </c>
      <c r="K43">
        <v>1</v>
      </c>
    </row>
    <row r="44" spans="10:11" x14ac:dyDescent="0.3">
      <c r="J44" s="4" t="s">
        <v>107</v>
      </c>
      <c r="K44">
        <v>1</v>
      </c>
    </row>
    <row r="45" spans="10:11" x14ac:dyDescent="0.3">
      <c r="J45" s="4" t="s">
        <v>108</v>
      </c>
      <c r="K45">
        <v>1</v>
      </c>
    </row>
    <row r="46" spans="10:11" x14ac:dyDescent="0.3">
      <c r="J46" s="4" t="s">
        <v>109</v>
      </c>
      <c r="K46">
        <v>1</v>
      </c>
    </row>
    <row r="47" spans="10:11" x14ac:dyDescent="0.3">
      <c r="J47" s="4" t="s">
        <v>110</v>
      </c>
      <c r="K47">
        <v>1</v>
      </c>
    </row>
    <row r="48" spans="10:11" x14ac:dyDescent="0.3">
      <c r="J48" s="4" t="s">
        <v>111</v>
      </c>
      <c r="K48">
        <v>1</v>
      </c>
    </row>
    <row r="49" spans="10:11" x14ac:dyDescent="0.3">
      <c r="J49" s="4" t="s">
        <v>125</v>
      </c>
      <c r="K49">
        <v>1</v>
      </c>
    </row>
    <row r="50" spans="10:11" x14ac:dyDescent="0.3">
      <c r="J50" s="4" t="s">
        <v>126</v>
      </c>
      <c r="K50">
        <v>1</v>
      </c>
    </row>
    <row r="51" spans="10:11" x14ac:dyDescent="0.3">
      <c r="J51" s="4" t="s">
        <v>127</v>
      </c>
      <c r="K51">
        <v>1</v>
      </c>
    </row>
    <row r="52" spans="10:11" x14ac:dyDescent="0.3">
      <c r="J52" s="3" t="s">
        <v>94</v>
      </c>
      <c r="K52">
        <v>389000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BF48-26D2-4A36-B695-BCE51AEFEAD3}">
  <dimension ref="A1:G3"/>
  <sheetViews>
    <sheetView topLeftCell="A33" workbookViewId="0">
      <selection activeCell="B3" sqref="B3"/>
    </sheetView>
  </sheetViews>
  <sheetFormatPr defaultRowHeight="14.4" x14ac:dyDescent="0.3"/>
  <cols>
    <col min="1" max="1" width="18.109375" customWidth="1"/>
    <col min="2" max="2" width="20.88671875" customWidth="1"/>
    <col min="3" max="3" width="15.6640625" customWidth="1"/>
    <col min="4" max="4" width="18.6640625" customWidth="1"/>
  </cols>
  <sheetData>
    <row r="1" spans="1:7" ht="15.6" x14ac:dyDescent="0.3">
      <c r="A1" s="9" t="s">
        <v>112</v>
      </c>
      <c r="B1" s="9"/>
      <c r="C1" s="9"/>
      <c r="D1" s="9"/>
      <c r="E1" s="5"/>
      <c r="F1" s="5"/>
      <c r="G1" s="5"/>
    </row>
    <row r="2" spans="1:7" x14ac:dyDescent="0.3">
      <c r="A2" s="6" t="s">
        <v>113</v>
      </c>
      <c r="B2" s="6" t="s">
        <v>114</v>
      </c>
      <c r="C2" s="6" t="s">
        <v>116</v>
      </c>
      <c r="D2" s="6" t="s">
        <v>115</v>
      </c>
    </row>
    <row r="3" spans="1:7" x14ac:dyDescent="0.3">
      <c r="A3">
        <f>COUNTA(Merge1[Transaction ID])</f>
        <v>18</v>
      </c>
      <c r="B3">
        <f>SUM(Merge1[Amount])</f>
        <v>389000</v>
      </c>
      <c r="C3">
        <f>COUNTIF(Merge1[Final AML Status], "SANCTIONS REVIEW") + COUNTIF(Merge1[Final AML Status], "TRANSACTION REVIEW")</f>
        <v>8</v>
      </c>
      <c r="D3">
        <f>COUNTIF(Merge1[Final AML Status], "SANCTIONS REVIEW")</f>
        <v>6</v>
      </c>
    </row>
  </sheetData>
  <mergeCells count="1">
    <mergeCell ref="A1:D1"/>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708E-0075-4272-89C7-500A24899BA7}">
  <dimension ref="A1:P19"/>
  <sheetViews>
    <sheetView topLeftCell="B1" zoomScaleNormal="100" workbookViewId="0">
      <selection activeCell="J10" sqref="J10"/>
    </sheetView>
  </sheetViews>
  <sheetFormatPr defaultRowHeight="14.4" x14ac:dyDescent="0.3"/>
  <cols>
    <col min="1" max="1" width="14.5546875" bestFit="1" customWidth="1"/>
    <col min="2" max="2" width="15.33203125" bestFit="1" customWidth="1"/>
    <col min="3" max="3" width="13.5546875" bestFit="1" customWidth="1"/>
    <col min="4" max="4" width="16.88671875" bestFit="1" customWidth="1"/>
    <col min="5" max="5" width="10" bestFit="1" customWidth="1"/>
    <col min="6" max="7" width="10.109375" bestFit="1" customWidth="1"/>
    <col min="8" max="8" width="17.6640625" bestFit="1" customWidth="1"/>
    <col min="9" max="9" width="11.33203125" bestFit="1" customWidth="1"/>
    <col min="10" max="10" width="9" bestFit="1" customWidth="1"/>
    <col min="11" max="11" width="17.21875" bestFit="1" customWidth="1"/>
    <col min="12" max="12" width="10.33203125" bestFit="1" customWidth="1"/>
    <col min="13" max="13" width="11.5546875" bestFit="1" customWidth="1"/>
    <col min="14" max="14" width="17.109375" bestFit="1" customWidth="1"/>
    <col min="15" max="15" width="15.5546875" bestFit="1" customWidth="1"/>
    <col min="16" max="16" width="20.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80</v>
      </c>
      <c r="O1" t="s">
        <v>81</v>
      </c>
      <c r="P1" t="s">
        <v>90</v>
      </c>
    </row>
    <row r="2" spans="1:16" x14ac:dyDescent="0.3">
      <c r="A2" t="s">
        <v>13</v>
      </c>
      <c r="B2" t="s">
        <v>14</v>
      </c>
      <c r="C2" t="s">
        <v>15</v>
      </c>
      <c r="D2" t="s">
        <v>16</v>
      </c>
      <c r="E2" t="s">
        <v>17</v>
      </c>
      <c r="F2">
        <v>2500</v>
      </c>
      <c r="G2" t="s">
        <v>18</v>
      </c>
      <c r="H2" t="s">
        <v>19</v>
      </c>
      <c r="I2" t="s">
        <v>20</v>
      </c>
      <c r="J2" s="1">
        <v>46030</v>
      </c>
      <c r="K2" t="s">
        <v>21</v>
      </c>
      <c r="L2" t="s">
        <v>21</v>
      </c>
      <c r="M2" t="s">
        <v>21</v>
      </c>
      <c r="P2" t="s">
        <v>21</v>
      </c>
    </row>
    <row r="3" spans="1:16" x14ac:dyDescent="0.3">
      <c r="A3" t="s">
        <v>13</v>
      </c>
      <c r="B3" t="s">
        <v>22</v>
      </c>
      <c r="C3" t="s">
        <v>23</v>
      </c>
      <c r="D3" t="s">
        <v>24</v>
      </c>
      <c r="E3" t="s">
        <v>25</v>
      </c>
      <c r="F3">
        <v>35000</v>
      </c>
      <c r="G3" t="s">
        <v>18</v>
      </c>
      <c r="H3" t="s">
        <v>19</v>
      </c>
      <c r="I3" t="s">
        <v>26</v>
      </c>
      <c r="J3" s="1">
        <v>46030</v>
      </c>
      <c r="K3" t="s">
        <v>27</v>
      </c>
      <c r="L3" t="s">
        <v>28</v>
      </c>
      <c r="M3" t="s">
        <v>29</v>
      </c>
      <c r="N3" t="s">
        <v>83</v>
      </c>
      <c r="O3" t="s">
        <v>84</v>
      </c>
      <c r="P3" t="s">
        <v>91</v>
      </c>
    </row>
    <row r="4" spans="1:16" x14ac:dyDescent="0.3">
      <c r="A4" t="s">
        <v>13</v>
      </c>
      <c r="B4" t="s">
        <v>30</v>
      </c>
      <c r="C4" t="s">
        <v>31</v>
      </c>
      <c r="D4" t="s">
        <v>32</v>
      </c>
      <c r="E4" t="s">
        <v>33</v>
      </c>
      <c r="F4">
        <v>15000</v>
      </c>
      <c r="G4" t="s">
        <v>34</v>
      </c>
      <c r="H4" t="s">
        <v>19</v>
      </c>
      <c r="I4" t="s">
        <v>35</v>
      </c>
      <c r="J4" s="1">
        <v>46030</v>
      </c>
      <c r="K4" t="s">
        <v>27</v>
      </c>
      <c r="L4" t="s">
        <v>21</v>
      </c>
      <c r="M4" t="s">
        <v>21</v>
      </c>
      <c r="P4" t="s">
        <v>21</v>
      </c>
    </row>
    <row r="5" spans="1:16" x14ac:dyDescent="0.3">
      <c r="A5" t="s">
        <v>13</v>
      </c>
      <c r="B5" t="s">
        <v>36</v>
      </c>
      <c r="C5" t="s">
        <v>37</v>
      </c>
      <c r="D5" t="s">
        <v>38</v>
      </c>
      <c r="E5" t="s">
        <v>39</v>
      </c>
      <c r="F5">
        <v>42000</v>
      </c>
      <c r="G5" t="s">
        <v>18</v>
      </c>
      <c r="H5" t="s">
        <v>19</v>
      </c>
      <c r="I5" t="s">
        <v>26</v>
      </c>
      <c r="J5" s="1">
        <v>46030</v>
      </c>
      <c r="K5" t="s">
        <v>27</v>
      </c>
      <c r="L5" t="s">
        <v>28</v>
      </c>
      <c r="M5" t="s">
        <v>29</v>
      </c>
      <c r="N5" t="s">
        <v>83</v>
      </c>
      <c r="O5" t="s">
        <v>85</v>
      </c>
      <c r="P5" t="s">
        <v>91</v>
      </c>
    </row>
    <row r="6" spans="1:16" x14ac:dyDescent="0.3">
      <c r="A6" t="s">
        <v>13</v>
      </c>
      <c r="B6" t="s">
        <v>40</v>
      </c>
      <c r="C6" t="s">
        <v>41</v>
      </c>
      <c r="D6" t="s">
        <v>42</v>
      </c>
      <c r="E6" t="s">
        <v>17</v>
      </c>
      <c r="F6">
        <v>7500</v>
      </c>
      <c r="G6" t="s">
        <v>43</v>
      </c>
      <c r="H6" t="s">
        <v>44</v>
      </c>
      <c r="I6" t="s">
        <v>20</v>
      </c>
      <c r="J6" s="1">
        <v>46030</v>
      </c>
      <c r="K6" t="s">
        <v>21</v>
      </c>
      <c r="L6" t="s">
        <v>21</v>
      </c>
      <c r="M6" t="s">
        <v>21</v>
      </c>
      <c r="P6" t="s">
        <v>21</v>
      </c>
    </row>
    <row r="7" spans="1:16" x14ac:dyDescent="0.3">
      <c r="A7" t="s">
        <v>45</v>
      </c>
      <c r="B7" t="s">
        <v>46</v>
      </c>
      <c r="C7" t="s">
        <v>47</v>
      </c>
      <c r="D7" t="s">
        <v>48</v>
      </c>
      <c r="E7" t="s">
        <v>49</v>
      </c>
      <c r="F7">
        <v>12000</v>
      </c>
      <c r="G7" t="s">
        <v>18</v>
      </c>
      <c r="H7" t="s">
        <v>19</v>
      </c>
      <c r="I7" t="s">
        <v>35</v>
      </c>
      <c r="J7" s="1">
        <v>46061</v>
      </c>
      <c r="K7" t="s">
        <v>27</v>
      </c>
      <c r="L7" t="s">
        <v>21</v>
      </c>
      <c r="M7" t="s">
        <v>21</v>
      </c>
      <c r="P7" t="s">
        <v>21</v>
      </c>
    </row>
    <row r="8" spans="1:16" x14ac:dyDescent="0.3">
      <c r="A8" t="s">
        <v>45</v>
      </c>
      <c r="B8" t="s">
        <v>50</v>
      </c>
      <c r="C8" t="s">
        <v>51</v>
      </c>
      <c r="D8" t="s">
        <v>52</v>
      </c>
      <c r="E8" t="s">
        <v>53</v>
      </c>
      <c r="F8">
        <v>9000</v>
      </c>
      <c r="G8" t="s">
        <v>34</v>
      </c>
      <c r="H8" t="s">
        <v>19</v>
      </c>
      <c r="I8" t="s">
        <v>20</v>
      </c>
      <c r="J8" s="1">
        <v>46061</v>
      </c>
      <c r="K8" t="s">
        <v>21</v>
      </c>
      <c r="L8" t="s">
        <v>21</v>
      </c>
      <c r="M8" t="s">
        <v>21</v>
      </c>
      <c r="P8" t="s">
        <v>21</v>
      </c>
    </row>
    <row r="9" spans="1:16" x14ac:dyDescent="0.3">
      <c r="A9" t="s">
        <v>45</v>
      </c>
      <c r="B9" t="s">
        <v>54</v>
      </c>
      <c r="C9" t="s">
        <v>23</v>
      </c>
      <c r="D9" t="s">
        <v>24</v>
      </c>
      <c r="E9" t="s">
        <v>25</v>
      </c>
      <c r="F9">
        <v>55000</v>
      </c>
      <c r="G9" t="s">
        <v>18</v>
      </c>
      <c r="H9" t="s">
        <v>19</v>
      </c>
      <c r="I9" t="s">
        <v>26</v>
      </c>
      <c r="J9" s="1">
        <v>46061</v>
      </c>
      <c r="K9" t="s">
        <v>27</v>
      </c>
      <c r="L9" t="s">
        <v>28</v>
      </c>
      <c r="M9" t="s">
        <v>29</v>
      </c>
      <c r="N9" t="s">
        <v>83</v>
      </c>
      <c r="O9" t="s">
        <v>84</v>
      </c>
      <c r="P9" t="s">
        <v>91</v>
      </c>
    </row>
    <row r="10" spans="1:16" x14ac:dyDescent="0.3">
      <c r="A10" t="s">
        <v>45</v>
      </c>
      <c r="B10" t="s">
        <v>55</v>
      </c>
      <c r="C10" t="s">
        <v>56</v>
      </c>
      <c r="D10" t="s">
        <v>57</v>
      </c>
      <c r="E10" t="s">
        <v>39</v>
      </c>
      <c r="F10">
        <v>18000</v>
      </c>
      <c r="G10" t="s">
        <v>18</v>
      </c>
      <c r="H10" t="s">
        <v>19</v>
      </c>
      <c r="I10" t="s">
        <v>26</v>
      </c>
      <c r="J10" s="1">
        <v>46061</v>
      </c>
      <c r="K10" t="s">
        <v>27</v>
      </c>
      <c r="L10" t="s">
        <v>28</v>
      </c>
      <c r="M10" t="s">
        <v>29</v>
      </c>
      <c r="P10" t="s">
        <v>92</v>
      </c>
    </row>
    <row r="11" spans="1:16" x14ac:dyDescent="0.3">
      <c r="A11" t="s">
        <v>45</v>
      </c>
      <c r="B11" t="s">
        <v>58</v>
      </c>
      <c r="C11" t="s">
        <v>59</v>
      </c>
      <c r="D11" t="s">
        <v>60</v>
      </c>
      <c r="E11" t="s">
        <v>49</v>
      </c>
      <c r="F11">
        <v>4000</v>
      </c>
      <c r="G11" t="s">
        <v>43</v>
      </c>
      <c r="H11" t="s">
        <v>44</v>
      </c>
      <c r="I11" t="s">
        <v>20</v>
      </c>
      <c r="J11" s="1">
        <v>46061</v>
      </c>
      <c r="K11" t="s">
        <v>21</v>
      </c>
      <c r="L11" t="s">
        <v>21</v>
      </c>
      <c r="M11" t="s">
        <v>21</v>
      </c>
      <c r="P11" t="s">
        <v>21</v>
      </c>
    </row>
    <row r="12" spans="1:16" x14ac:dyDescent="0.3">
      <c r="A12" t="s">
        <v>61</v>
      </c>
      <c r="B12" t="s">
        <v>62</v>
      </c>
      <c r="C12" t="s">
        <v>63</v>
      </c>
      <c r="D12" t="s">
        <v>64</v>
      </c>
      <c r="E12" t="s">
        <v>33</v>
      </c>
      <c r="F12">
        <v>11000</v>
      </c>
      <c r="G12" t="s">
        <v>18</v>
      </c>
      <c r="H12" t="s">
        <v>19</v>
      </c>
      <c r="I12" t="s">
        <v>35</v>
      </c>
      <c r="J12" s="1">
        <v>46089</v>
      </c>
      <c r="K12" t="s">
        <v>27</v>
      </c>
      <c r="L12" t="s">
        <v>21</v>
      </c>
      <c r="M12" t="s">
        <v>21</v>
      </c>
      <c r="P12" t="s">
        <v>21</v>
      </c>
    </row>
    <row r="13" spans="1:16" x14ac:dyDescent="0.3">
      <c r="A13" t="s">
        <v>61</v>
      </c>
      <c r="B13" t="s">
        <v>65</v>
      </c>
      <c r="C13" t="s">
        <v>37</v>
      </c>
      <c r="D13" t="s">
        <v>38</v>
      </c>
      <c r="E13" t="s">
        <v>39</v>
      </c>
      <c r="F13">
        <v>60000</v>
      </c>
      <c r="G13" t="s">
        <v>18</v>
      </c>
      <c r="H13" t="s">
        <v>19</v>
      </c>
      <c r="I13" t="s">
        <v>26</v>
      </c>
      <c r="J13" s="1">
        <v>46089</v>
      </c>
      <c r="K13" t="s">
        <v>27</v>
      </c>
      <c r="L13" t="s">
        <v>28</v>
      </c>
      <c r="M13" t="s">
        <v>29</v>
      </c>
      <c r="N13" t="s">
        <v>83</v>
      </c>
      <c r="O13" t="s">
        <v>85</v>
      </c>
      <c r="P13" t="s">
        <v>91</v>
      </c>
    </row>
    <row r="14" spans="1:16" x14ac:dyDescent="0.3">
      <c r="A14" t="s">
        <v>61</v>
      </c>
      <c r="B14" t="s">
        <v>66</v>
      </c>
      <c r="C14" t="s">
        <v>67</v>
      </c>
      <c r="D14" t="s">
        <v>68</v>
      </c>
      <c r="E14" t="s">
        <v>69</v>
      </c>
      <c r="F14">
        <v>5000</v>
      </c>
      <c r="G14" t="s">
        <v>34</v>
      </c>
      <c r="H14" t="s">
        <v>19</v>
      </c>
      <c r="I14" t="s">
        <v>20</v>
      </c>
      <c r="J14" s="1">
        <v>46089</v>
      </c>
      <c r="K14" t="s">
        <v>21</v>
      </c>
      <c r="L14" t="s">
        <v>21</v>
      </c>
      <c r="M14" t="s">
        <v>21</v>
      </c>
      <c r="P14" t="s">
        <v>21</v>
      </c>
    </row>
    <row r="15" spans="1:16" x14ac:dyDescent="0.3">
      <c r="A15" t="s">
        <v>61</v>
      </c>
      <c r="B15" t="s">
        <v>70</v>
      </c>
      <c r="C15" t="s">
        <v>23</v>
      </c>
      <c r="D15" t="s">
        <v>24</v>
      </c>
      <c r="E15" t="s">
        <v>25</v>
      </c>
      <c r="F15">
        <v>25000</v>
      </c>
      <c r="G15" t="s">
        <v>18</v>
      </c>
      <c r="H15" t="s">
        <v>19</v>
      </c>
      <c r="I15" t="s">
        <v>26</v>
      </c>
      <c r="J15" s="1">
        <v>46089</v>
      </c>
      <c r="K15" t="s">
        <v>27</v>
      </c>
      <c r="L15" t="s">
        <v>28</v>
      </c>
      <c r="M15" t="s">
        <v>29</v>
      </c>
      <c r="N15" t="s">
        <v>83</v>
      </c>
      <c r="O15" t="s">
        <v>84</v>
      </c>
      <c r="P15" t="s">
        <v>91</v>
      </c>
    </row>
    <row r="16" spans="1:16" x14ac:dyDescent="0.3">
      <c r="A16" t="s">
        <v>61</v>
      </c>
      <c r="B16" t="s">
        <v>71</v>
      </c>
      <c r="C16" t="s">
        <v>72</v>
      </c>
      <c r="D16" t="s">
        <v>73</v>
      </c>
      <c r="E16" t="s">
        <v>17</v>
      </c>
      <c r="F16">
        <v>3000</v>
      </c>
      <c r="G16" t="s">
        <v>43</v>
      </c>
      <c r="H16" t="s">
        <v>44</v>
      </c>
      <c r="I16" t="s">
        <v>20</v>
      </c>
      <c r="J16" s="1">
        <v>46089</v>
      </c>
      <c r="K16" t="s">
        <v>21</v>
      </c>
      <c r="L16" t="s">
        <v>21</v>
      </c>
      <c r="M16" t="s">
        <v>21</v>
      </c>
      <c r="P16" t="s">
        <v>21</v>
      </c>
    </row>
    <row r="17" spans="1:16" x14ac:dyDescent="0.3">
      <c r="A17" t="s">
        <v>117</v>
      </c>
      <c r="B17" t="s">
        <v>118</v>
      </c>
      <c r="C17" t="s">
        <v>119</v>
      </c>
      <c r="D17" t="s">
        <v>120</v>
      </c>
      <c r="E17" t="s">
        <v>25</v>
      </c>
      <c r="F17">
        <v>75000</v>
      </c>
      <c r="G17" t="s">
        <v>18</v>
      </c>
      <c r="H17" t="s">
        <v>19</v>
      </c>
      <c r="I17" t="s">
        <v>26</v>
      </c>
      <c r="J17" s="1">
        <v>46120</v>
      </c>
      <c r="K17" t="s">
        <v>27</v>
      </c>
      <c r="L17" t="s">
        <v>28</v>
      </c>
      <c r="M17" t="s">
        <v>29</v>
      </c>
      <c r="P17" t="s">
        <v>92</v>
      </c>
    </row>
    <row r="18" spans="1:16" x14ac:dyDescent="0.3">
      <c r="A18" t="s">
        <v>117</v>
      </c>
      <c r="B18" t="s">
        <v>121</v>
      </c>
      <c r="C18" t="s">
        <v>122</v>
      </c>
      <c r="D18" t="s">
        <v>123</v>
      </c>
      <c r="E18" t="s">
        <v>17</v>
      </c>
      <c r="F18">
        <v>2000</v>
      </c>
      <c r="G18" t="s">
        <v>34</v>
      </c>
      <c r="H18" t="s">
        <v>19</v>
      </c>
      <c r="I18" t="s">
        <v>20</v>
      </c>
      <c r="J18" s="1">
        <v>46120</v>
      </c>
      <c r="K18" t="s">
        <v>21</v>
      </c>
      <c r="L18" t="s">
        <v>21</v>
      </c>
      <c r="M18" t="s">
        <v>21</v>
      </c>
      <c r="P18" t="s">
        <v>21</v>
      </c>
    </row>
    <row r="19" spans="1:16" x14ac:dyDescent="0.3">
      <c r="A19" t="s">
        <v>117</v>
      </c>
      <c r="B19" t="s">
        <v>124</v>
      </c>
      <c r="C19" t="s">
        <v>23</v>
      </c>
      <c r="D19" t="s">
        <v>24</v>
      </c>
      <c r="E19" t="s">
        <v>25</v>
      </c>
      <c r="F19">
        <v>8000</v>
      </c>
      <c r="G19" t="s">
        <v>18</v>
      </c>
      <c r="H19" t="s">
        <v>19</v>
      </c>
      <c r="I19" t="s">
        <v>26</v>
      </c>
      <c r="J19" s="1">
        <v>46120</v>
      </c>
      <c r="K19" t="s">
        <v>21</v>
      </c>
      <c r="L19" t="s">
        <v>28</v>
      </c>
      <c r="M19" t="s">
        <v>21</v>
      </c>
      <c r="N19" t="s">
        <v>83</v>
      </c>
      <c r="O19" t="s">
        <v>84</v>
      </c>
      <c r="P19" t="s">
        <v>91</v>
      </c>
    </row>
  </sheetData>
  <conditionalFormatting sqref="P1:P1048576">
    <cfRule type="containsText" dxfId="10" priority="1" operator="containsText" text="TRANSACTION">
      <formula>NOT(ISERROR(SEARCH("TRANSACTION",P1)))</formula>
    </cfRule>
    <cfRule type="containsText" dxfId="9" priority="2" operator="containsText" text="SANCTIONS">
      <formula>NOT(ISERROR(SEARCH("SANCTIONS",P1)))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E050-664D-4732-9DBC-34A1E4018E85}">
  <dimension ref="A1:F6"/>
  <sheetViews>
    <sheetView zoomScaleNormal="100" workbookViewId="0">
      <selection activeCell="F1" sqref="F1"/>
    </sheetView>
  </sheetViews>
  <sheetFormatPr defaultRowHeight="14.4" x14ac:dyDescent="0.3"/>
  <cols>
    <col min="1" max="1" width="11.109375" bestFit="1" customWidth="1"/>
    <col min="2" max="2" width="14.33203125" bestFit="1" customWidth="1"/>
    <col min="3" max="3" width="10.77734375" bestFit="1" customWidth="1"/>
    <col min="4" max="4" width="14.33203125" bestFit="1" customWidth="1"/>
    <col min="5" max="5" width="16.109375" bestFit="1" customWidth="1"/>
    <col min="6" max="6" width="10.77734375" bestFit="1" customWidth="1"/>
  </cols>
  <sheetData>
    <row r="1" spans="1:6" x14ac:dyDescent="0.3">
      <c r="A1" t="s">
        <v>74</v>
      </c>
      <c r="B1" t="s">
        <v>75</v>
      </c>
      <c r="C1" t="s">
        <v>76</v>
      </c>
      <c r="D1" t="s">
        <v>77</v>
      </c>
      <c r="E1" t="s">
        <v>78</v>
      </c>
      <c r="F1" t="s">
        <v>79</v>
      </c>
    </row>
    <row r="2" spans="1:6" x14ac:dyDescent="0.3">
      <c r="A2" t="s">
        <v>2</v>
      </c>
      <c r="B2" t="s">
        <v>3</v>
      </c>
      <c r="C2" t="s">
        <v>4</v>
      </c>
      <c r="D2" t="s">
        <v>80</v>
      </c>
      <c r="E2" t="s">
        <v>81</v>
      </c>
      <c r="F2" t="s">
        <v>82</v>
      </c>
    </row>
    <row r="3" spans="1:6" x14ac:dyDescent="0.3">
      <c r="A3" t="s">
        <v>23</v>
      </c>
      <c r="B3" t="s">
        <v>24</v>
      </c>
      <c r="C3" t="s">
        <v>25</v>
      </c>
      <c r="D3" t="s">
        <v>83</v>
      </c>
      <c r="E3" t="s">
        <v>84</v>
      </c>
      <c r="F3" t="s">
        <v>82</v>
      </c>
    </row>
    <row r="4" spans="1:6" x14ac:dyDescent="0.3">
      <c r="A4" t="s">
        <v>37</v>
      </c>
      <c r="B4" t="s">
        <v>38</v>
      </c>
      <c r="C4" t="s">
        <v>39</v>
      </c>
      <c r="D4" t="s">
        <v>83</v>
      </c>
      <c r="E4" t="s">
        <v>85</v>
      </c>
      <c r="F4" t="s">
        <v>82</v>
      </c>
    </row>
    <row r="5" spans="1:6" x14ac:dyDescent="0.3">
      <c r="A5" t="s">
        <v>86</v>
      </c>
      <c r="B5" t="s">
        <v>60</v>
      </c>
      <c r="C5" t="s">
        <v>49</v>
      </c>
      <c r="D5" t="s">
        <v>83</v>
      </c>
      <c r="E5" t="s">
        <v>87</v>
      </c>
      <c r="F5" t="s">
        <v>82</v>
      </c>
    </row>
    <row r="6" spans="1:6" x14ac:dyDescent="0.3">
      <c r="A6" t="s">
        <v>88</v>
      </c>
      <c r="B6" t="s">
        <v>68</v>
      </c>
      <c r="C6" t="s">
        <v>69</v>
      </c>
      <c r="D6" t="s">
        <v>83</v>
      </c>
      <c r="E6" t="s">
        <v>89</v>
      </c>
      <c r="F6" t="s">
        <v>82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AE06B-51E5-47B4-9ED6-CAA7EB8CBF8E}">
  <dimension ref="A1:P9"/>
  <sheetViews>
    <sheetView tabSelected="1" topLeftCell="E1" workbookViewId="0">
      <selection activeCell="N16" sqref="N16"/>
    </sheetView>
  </sheetViews>
  <sheetFormatPr defaultRowHeight="14.4" x14ac:dyDescent="0.3"/>
  <cols>
    <col min="1" max="1" width="24.21875" bestFit="1" customWidth="1"/>
    <col min="2" max="2" width="14.44140625" bestFit="1" customWidth="1"/>
    <col min="3" max="3" width="10.109375" bestFit="1" customWidth="1"/>
    <col min="4" max="4" width="12.5546875" bestFit="1" customWidth="1"/>
    <col min="5" max="5" width="15.77734375" bestFit="1" customWidth="1"/>
    <col min="6" max="6" width="11.33203125" bestFit="1" customWidth="1"/>
    <col min="7" max="7" width="14.33203125" bestFit="1" customWidth="1"/>
    <col min="8" max="8" width="14.44140625" bestFit="1" customWidth="1"/>
    <col min="9" max="9" width="10.33203125" bestFit="1" customWidth="1"/>
    <col min="10" max="10" width="11.5546875" style="1" bestFit="1" customWidth="1"/>
    <col min="11" max="11" width="17.109375" bestFit="1" customWidth="1"/>
    <col min="12" max="12" width="15.5546875" bestFit="1" customWidth="1"/>
    <col min="13" max="13" width="20.109375" bestFit="1" customWidth="1"/>
    <col min="14" max="14" width="14.33203125" bestFit="1" customWidth="1"/>
    <col min="15" max="15" width="42.5546875" bestFit="1" customWidth="1"/>
    <col min="16" max="16" width="20.109375" bestFit="1" customWidth="1"/>
  </cols>
  <sheetData>
    <row r="1" spans="1:16" x14ac:dyDescent="0.3">
      <c r="A1" t="str" cm="1">
        <f t="array" ref="A1:P9">_xlfn.VSTACK(Transactions!A1:P1, _xlfn._xlws.FILTER(Transactions!A2:P20, (Transactions!P2:P20="SANCTIONS REVIEW") + (Transactions!P2:P20="TRANSACTION REVIEW")))</f>
        <v>Source.Name</v>
      </c>
      <c r="B1" t="str">
        <v>Transaction ID</v>
      </c>
      <c r="C1" t="str">
        <v>Customer ID</v>
      </c>
      <c r="D1" t="str">
        <v>Customer Name</v>
      </c>
      <c r="E1" t="str">
        <v>Country</v>
      </c>
      <c r="F1" t="str">
        <v>Amount</v>
      </c>
      <c r="G1" t="str">
        <v>Channel</v>
      </c>
      <c r="H1" t="str">
        <v>Transaction Type</v>
      </c>
      <c r="I1" t="str">
        <v>Risk Level</v>
      </c>
      <c r="J1" s="1" t="str">
        <v>Date</v>
      </c>
      <c r="K1" t="str">
        <v>Amount Flag</v>
      </c>
      <c r="L1" t="str">
        <v>Risk Flag</v>
      </c>
      <c r="M1" t="str">
        <v>AML Alert</v>
      </c>
      <c r="N1" t="str">
        <v>Sanctions Status</v>
      </c>
      <c r="O1" t="str">
        <v>Reason</v>
      </c>
      <c r="P1" t="str">
        <v>Final AML Status</v>
      </c>
    </row>
    <row r="2" spans="1:16" x14ac:dyDescent="0.3">
      <c r="A2" t="str">
        <v>2026-08-01.csv</v>
      </c>
      <c r="B2" t="str">
        <v>TX002</v>
      </c>
      <c r="C2" t="str">
        <v>C002</v>
      </c>
      <c r="D2" t="str">
        <v>Ahmed Khan</v>
      </c>
      <c r="E2" t="str">
        <v>UAE</v>
      </c>
      <c r="F2">
        <v>35000</v>
      </c>
      <c r="G2" t="str">
        <v>Online</v>
      </c>
      <c r="H2" t="str">
        <v>Transfer</v>
      </c>
      <c r="I2" t="str">
        <v>HIGH</v>
      </c>
      <c r="J2" s="1">
        <v>46030</v>
      </c>
      <c r="K2" t="str">
        <v>ABOVE THRESHOLD</v>
      </c>
      <c r="L2" t="str">
        <v>HIGH RISK</v>
      </c>
      <c r="M2" t="str">
        <v>REVIEW</v>
      </c>
      <c r="N2" t="str">
        <v>LISTED</v>
      </c>
      <c r="O2" t="str">
        <v>Financial Crime</v>
      </c>
      <c r="P2" t="str">
        <v>SANCTIONS REVIEW</v>
      </c>
    </row>
    <row r="3" spans="1:16" x14ac:dyDescent="0.3">
      <c r="A3" t="str">
        <v>2026-08-01.csv</v>
      </c>
      <c r="B3" t="str">
        <v>TX004</v>
      </c>
      <c r="C3" t="str">
        <v>C004</v>
      </c>
      <c r="D3" t="str">
        <v>Zhang Wei</v>
      </c>
      <c r="E3" t="str">
        <v>China</v>
      </c>
      <c r="F3">
        <v>42000</v>
      </c>
      <c r="G3" t="str">
        <v>Online</v>
      </c>
      <c r="H3" t="str">
        <v>Transfer</v>
      </c>
      <c r="I3" t="str">
        <v>HIGH</v>
      </c>
      <c r="J3" s="1">
        <v>46030</v>
      </c>
      <c r="K3" t="str">
        <v>ABOVE THRESHOLD</v>
      </c>
      <c r="L3" t="str">
        <v>HIGH RISK</v>
      </c>
      <c r="M3" t="str">
        <v>REVIEW</v>
      </c>
      <c r="N3" t="str">
        <v>LISTED</v>
      </c>
      <c r="O3" t="str">
        <v>Sanctions Evasion</v>
      </c>
      <c r="P3" t="str">
        <v>SANCTIONS REVIEW</v>
      </c>
    </row>
    <row r="4" spans="1:16" x14ac:dyDescent="0.3">
      <c r="A4" t="str">
        <v>2026-08-02.csv</v>
      </c>
      <c r="B4" t="str">
        <v>TX008</v>
      </c>
      <c r="C4" t="str">
        <v>C002</v>
      </c>
      <c r="D4" t="str">
        <v>Ahmed Khan</v>
      </c>
      <c r="E4" t="str">
        <v>UAE</v>
      </c>
      <c r="F4">
        <v>55000</v>
      </c>
      <c r="G4" t="str">
        <v>Online</v>
      </c>
      <c r="H4" t="str">
        <v>Transfer</v>
      </c>
      <c r="I4" t="str">
        <v>HIGH</v>
      </c>
      <c r="J4" s="1">
        <v>46061</v>
      </c>
      <c r="K4" t="str">
        <v>ABOVE THRESHOLD</v>
      </c>
      <c r="L4" t="str">
        <v>HIGH RISK</v>
      </c>
      <c r="M4" t="str">
        <v>REVIEW</v>
      </c>
      <c r="N4" t="str">
        <v>LISTED</v>
      </c>
      <c r="O4" t="str">
        <v>Financial Crime</v>
      </c>
      <c r="P4" t="str">
        <v>SANCTIONS REVIEW</v>
      </c>
    </row>
    <row r="5" spans="1:16" x14ac:dyDescent="0.3">
      <c r="A5" t="str">
        <v>2026-08-02.csv</v>
      </c>
      <c r="B5" t="str">
        <v>TX009</v>
      </c>
      <c r="C5" t="str">
        <v>C008</v>
      </c>
      <c r="D5" t="str">
        <v>Chen Li</v>
      </c>
      <c r="E5" t="str">
        <v>China</v>
      </c>
      <c r="F5">
        <v>18000</v>
      </c>
      <c r="G5" t="str">
        <v>Online</v>
      </c>
      <c r="H5" t="str">
        <v>Transfer</v>
      </c>
      <c r="I5" t="str">
        <v>HIGH</v>
      </c>
      <c r="J5" s="1">
        <v>46061</v>
      </c>
      <c r="K5" t="str">
        <v>ABOVE THRESHOLD</v>
      </c>
      <c r="L5" t="str">
        <v>HIGH RISK</v>
      </c>
      <c r="M5" t="str">
        <v>REVIEW</v>
      </c>
      <c r="N5">
        <v>0</v>
      </c>
      <c r="O5">
        <v>0</v>
      </c>
      <c r="P5" t="str">
        <v>TRANSACTION REVIEW</v>
      </c>
    </row>
    <row r="6" spans="1:16" x14ac:dyDescent="0.3">
      <c r="A6" t="str">
        <v>2026-08-03.csv</v>
      </c>
      <c r="B6" t="str">
        <v>TX012</v>
      </c>
      <c r="C6" t="str">
        <v>C004</v>
      </c>
      <c r="D6" t="str">
        <v>Zhang Wei</v>
      </c>
      <c r="E6" t="str">
        <v>China</v>
      </c>
      <c r="F6">
        <v>60000</v>
      </c>
      <c r="G6" t="str">
        <v>Online</v>
      </c>
      <c r="H6" t="str">
        <v>Transfer</v>
      </c>
      <c r="I6" t="str">
        <v>HIGH</v>
      </c>
      <c r="J6" s="1">
        <v>46089</v>
      </c>
      <c r="K6" t="str">
        <v>ABOVE THRESHOLD</v>
      </c>
      <c r="L6" t="str">
        <v>HIGH RISK</v>
      </c>
      <c r="M6" t="str">
        <v>REVIEW</v>
      </c>
      <c r="N6" t="str">
        <v>LISTED</v>
      </c>
      <c r="O6" t="str">
        <v>Sanctions Evasion</v>
      </c>
      <c r="P6" t="str">
        <v>SANCTIONS REVIEW</v>
      </c>
    </row>
    <row r="7" spans="1:16" x14ac:dyDescent="0.3">
      <c r="A7" t="str">
        <v>2026-08-03.csv</v>
      </c>
      <c r="B7" t="str">
        <v>TX014</v>
      </c>
      <c r="C7" t="str">
        <v>C002</v>
      </c>
      <c r="D7" t="str">
        <v>Ahmed Khan</v>
      </c>
      <c r="E7" t="str">
        <v>UAE</v>
      </c>
      <c r="F7">
        <v>25000</v>
      </c>
      <c r="G7" t="str">
        <v>Online</v>
      </c>
      <c r="H7" t="str">
        <v>Transfer</v>
      </c>
      <c r="I7" t="str">
        <v>HIGH</v>
      </c>
      <c r="J7" s="1">
        <v>46089</v>
      </c>
      <c r="K7" t="str">
        <v>ABOVE THRESHOLD</v>
      </c>
      <c r="L7" t="str">
        <v>HIGH RISK</v>
      </c>
      <c r="M7" t="str">
        <v>REVIEW</v>
      </c>
      <c r="N7" t="str">
        <v>LISTED</v>
      </c>
      <c r="O7" t="str">
        <v>Financial Crime</v>
      </c>
      <c r="P7" t="str">
        <v>SANCTIONS REVIEW</v>
      </c>
    </row>
    <row r="8" spans="1:16" x14ac:dyDescent="0.3">
      <c r="A8" t="str">
        <v>2026-08-04.csv</v>
      </c>
      <c r="B8" t="str">
        <v>TX016</v>
      </c>
      <c r="C8" t="str">
        <v>C013</v>
      </c>
      <c r="D8" t="str">
        <v>Michael Lee</v>
      </c>
      <c r="E8" t="str">
        <v>UAE</v>
      </c>
      <c r="F8">
        <v>75000</v>
      </c>
      <c r="G8" t="str">
        <v>Online</v>
      </c>
      <c r="H8" t="str">
        <v>Transfer</v>
      </c>
      <c r="I8" t="str">
        <v>HIGH</v>
      </c>
      <c r="J8" s="1">
        <v>46120</v>
      </c>
      <c r="K8" t="str">
        <v>ABOVE THRESHOLD</v>
      </c>
      <c r="L8" t="str">
        <v>HIGH RISK</v>
      </c>
      <c r="M8" t="str">
        <v>REVIEW</v>
      </c>
      <c r="N8">
        <v>0</v>
      </c>
      <c r="O8">
        <v>0</v>
      </c>
      <c r="P8" t="str">
        <v>TRANSACTION REVIEW</v>
      </c>
    </row>
    <row r="9" spans="1:16" x14ac:dyDescent="0.3">
      <c r="A9" t="str">
        <v>2026-08-04.csv</v>
      </c>
      <c r="B9" t="str">
        <v>TX018</v>
      </c>
      <c r="C9" t="str">
        <v>C002</v>
      </c>
      <c r="D9" t="str">
        <v>Ahmed Khan</v>
      </c>
      <c r="E9" t="str">
        <v>UAE</v>
      </c>
      <c r="F9">
        <v>8000</v>
      </c>
      <c r="G9" t="str">
        <v>Online</v>
      </c>
      <c r="H9" t="str">
        <v>Transfer</v>
      </c>
      <c r="I9" t="str">
        <v>HIGH</v>
      </c>
      <c r="J9" s="1">
        <v>46120</v>
      </c>
      <c r="K9" t="str">
        <v>NORMAL</v>
      </c>
      <c r="L9" t="str">
        <v>HIGH RISK</v>
      </c>
      <c r="M9" t="str">
        <v>NORMAL</v>
      </c>
      <c r="N9" t="str">
        <v>LISTED</v>
      </c>
      <c r="O9" t="str">
        <v>Financial Crime</v>
      </c>
      <c r="P9" t="str">
        <v>SANCTIONS REVIEW</v>
      </c>
    </row>
  </sheetData>
  <conditionalFormatting sqref="N1:N33 J34 N42:N1048576">
    <cfRule type="containsText" dxfId="6" priority="6" operator="containsText" text="NORMAL">
      <formula>NOT(ISERROR(SEARCH("NORMAL",J1)))</formula>
    </cfRule>
    <cfRule type="containsText" dxfId="5" priority="7" operator="containsText" text="URGENT">
      <formula>NOT(ISERROR(SEARCH("URGENT",J1)))</formula>
    </cfRule>
  </conditionalFormatting>
  <conditionalFormatting sqref="P1:P1048576">
    <cfRule type="containsText" dxfId="0" priority="2" operator="containsText" text="sanc">
      <formula>NOT(ISERROR(SEARCH("sanc",P1)))</formula>
    </cfRule>
    <cfRule type="containsText" dxfId="1" priority="1" operator="containsText" text="transac">
      <formula>NOT(ISERROR(SEARCH("transac",P1)))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11252D-DE2B-40FB-9C1E-E1F1B0D6C7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AML_Analysis</vt:lpstr>
      <vt:lpstr>Dashboard</vt:lpstr>
      <vt:lpstr>Transactions</vt:lpstr>
      <vt:lpstr>Sanctions</vt:lpstr>
      <vt:lpstr>Review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Zafarbek Ergashov</cp:lastModifiedBy>
  <dcterms:created xsi:type="dcterms:W3CDTF">2015-06-05T18:17:20Z</dcterms:created>
  <dcterms:modified xsi:type="dcterms:W3CDTF">2026-09-06T14:29:17Z</dcterms:modified>
</cp:coreProperties>
</file>